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7111790C-0061-4B66-9076-E9C894072712}" xr6:coauthVersionLast="47" xr6:coauthVersionMax="47" xr10:uidLastSave="{00000000-0000-0000-0000-000000000000}"/>
  <bookViews>
    <workbookView xWindow="-120" yWindow="-120" windowWidth="20730" windowHeight="11160" activeTab="3" xr2:uid="{F1EA4252-9E7B-4A51-9058-F27BC6A9D2E9}"/>
  </bookViews>
  <sheets>
    <sheet name="Excel_jumia_dataset" sheetId="1" r:id="rId1"/>
    <sheet name="data_cleared" sheetId="2" r:id="rId2"/>
    <sheet name="analyzed" sheetId="4" r:id="rId3"/>
    <sheet name="DASHBOARD" sheetId="5" r:id="rId4"/>
  </sheets>
  <definedNames>
    <definedName name="Slicer_Price_category">#N/A</definedName>
    <definedName name="Slicer_Rating_category">#N/A</definedName>
    <definedName name="Slicer_Review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2" l="1"/>
  <c r="N16" i="2"/>
  <c r="N14" i="2"/>
  <c r="N12" i="2"/>
  <c r="N10" i="2"/>
  <c r="N8" i="2"/>
  <c r="N6" i="2"/>
  <c r="N4"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2" i="2"/>
</calcChain>
</file>

<file path=xl/sharedStrings.xml><?xml version="1.0" encoding="utf-8"?>
<sst xmlns="http://schemas.openxmlformats.org/spreadsheetml/2006/main" count="584" uniqueCount="353">
  <si>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</si>
  <si>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</si>
  <si>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</si>
  <si>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</si>
  <si>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</si>
  <si>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</si>
  <si>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</si>
  <si>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</si>
  <si>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</si>
  <si>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</si>
  <si>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</si>
  <si>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</si>
  <si>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</si>
  <si>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</si>
  <si>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</si>
  <si>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</si>
  <si>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</si>
  <si>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</si>
  <si>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</si>
  <si>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</si>
  <si>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</si>
  <si>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</si>
  <si>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</si>
  <si>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</si>
  <si>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</si>
  <si>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</si>
  <si>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</si>
  <si>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</si>
  <si>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</si>
  <si>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</si>
  <si>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</si>
  <si>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</si>
  <si>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</si>
  <si>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</si>
  <si>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</si>
  <si>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</si>
  <si>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</si>
  <si>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</si>
  <si>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</si>
  <si>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</si>
  <si>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</si>
  <si>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</si>
  <si>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</si>
  <si>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</si>
  <si>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</si>
  <si>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</si>
  <si>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</si>
  <si>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</si>
  <si>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</si>
  <si>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</si>
  <si>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</si>
  <si>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</si>
  <si>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</si>
  <si>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</si>
  <si>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</si>
  <si>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</si>
  <si>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</si>
  <si>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</si>
  <si>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</si>
  <si>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</si>
  <si>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</si>
  <si>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</si>
  <si>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</si>
  <si>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</si>
  <si>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</si>
  <si>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</si>
  <si>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</si>
  <si>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</si>
  <si>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</si>
  <si>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</si>
  <si>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</si>
  <si>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</si>
  <si>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</si>
  <si>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</si>
  <si>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</si>
  <si>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</si>
  <si>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</si>
  <si>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</si>
  <si>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</si>
  <si>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</si>
  <si>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</si>
  <si>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</si>
  <si>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</si>
  <si>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</si>
  <si>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</si>
  <si>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</si>
  <si>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</si>
  <si>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</si>
  <si>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</si>
  <si>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</si>
  <si>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</si>
  <si>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</si>
  <si>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</si>
  <si>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</si>
  <si>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</si>
  <si>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</si>
  <si>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</si>
  <si>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</si>
  <si>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</si>
  <si>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</si>
  <si>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</si>
  <si>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</si>
  <si>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</si>
  <si>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</si>
  <si>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</si>
  <si>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</si>
  <si>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</si>
  <si>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</si>
  <si>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</si>
  <si>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</si>
  <si>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</si>
  <si>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</si>
  <si>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</si>
  <si>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</si>
  <si>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</si>
  <si>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</si>
  <si>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</si>
  <si>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</si>
  <si>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</si>
  <si>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</si>
  <si>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</si>
  <si>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</si>
  <si>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</si>
  <si>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</si>
  <si>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</si>
  <si>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</si>
  <si>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</si>
  <si>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</si>
  <si>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</si>
  <si>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</si>
  <si>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</si>
  <si>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</si>
  <si>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</si>
  <si>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</si>
  <si>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</si>
  <si>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</si>
  <si>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</si>
  <si>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</si>
  <si>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</si>
  <si>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</si>
  <si>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</si>
  <si>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</si>
  <si>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</si>
  <si>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</si>
  <si>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</si>
  <si>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</si>
  <si>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</si>
  <si>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</si>
  <si>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</si>
  <si>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</si>
  <si>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</si>
  <si>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</si>
  <si>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</si>
  <si>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</si>
  <si>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</si>
  <si>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</si>
  <si>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</si>
  <si>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</si>
  <si>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</si>
  <si>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</si>
  <si>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</si>
  <si>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</si>
  <si>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</si>
  <si>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</si>
  <si>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</si>
  <si>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</si>
  <si>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</si>
  <si>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</si>
  <si>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</si>
  <si>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</si>
  <si>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</si>
  <si>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</si>
  <si>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</si>
  <si>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</si>
  <si>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</si>
  <si>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</si>
  <si>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</si>
  <si>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</si>
  <si>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</si>
  <si>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</si>
  <si>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</si>
  <si>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</si>
  <si>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</si>
  <si>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</si>
  <si>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</si>
  <si>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</si>
  <si>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</si>
  <si>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</si>
  <si>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</si>
  <si>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</si>
  <si>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</si>
  <si>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</si>
  <si>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</si>
  <si>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</si>
  <si>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</si>
  <si>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</si>
  <si>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</si>
  <si>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</si>
  <si>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</si>
  <si>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</si>
  <si>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</si>
  <si>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</si>
  <si>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</si>
  <si>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</si>
  <si>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</si>
  <si>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</si>
  <si>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</si>
  <si>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</si>
  <si>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</si>
  <si>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</si>
  <si>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</si>
  <si>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</si>
  <si>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</si>
  <si>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</si>
  <si>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</si>
  <si>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</si>
  <si>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</si>
  <si>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</si>
  <si>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</si>
  <si>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</si>
  <si>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</si>
  <si>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</si>
  <si>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</si>
  <si>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</si>
  <si>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</si>
  <si>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</si>
  <si>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</si>
  <si>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</si>
  <si>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</si>
  <si>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</si>
  <si>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</si>
  <si>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</si>
  <si>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</si>
  <si>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</si>
  <si>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</si>
  <si>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</si>
  <si>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</si>
  <si>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</si>
  <si>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</si>
  <si>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</si>
  <si>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</si>
  <si>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</si>
  <si>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</si>
  <si>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</si>
  <si>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</si>
  <si>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</si>
  <si>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</si>
  <si>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</si>
  <si>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</si>
  <si>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</si>
  <si>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</si>
  <si>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</si>
  <si>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</si>
  <si>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</si>
  <si>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</si>
  <si>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</si>
  <si>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</si>
  <si>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</si>
  <si>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</si>
  <si>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</si>
  <si>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</si>
  <si>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</si>
  <si>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</si>
  <si>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</si>
  <si>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</si>
  <si>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</si>
  <si>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</si>
  <si>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</si>
  <si>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</si>
  <si>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</si>
  <si>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</si>
  <si>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</si>
  <si>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</si>
  <si>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</si>
  <si>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</si>
  <si>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</si>
  <si>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</si>
  <si>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</si>
  <si>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</si>
  <si>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</si>
  <si>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</si>
  <si>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</si>
  <si>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</si>
  <si>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</si>
  <si>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</si>
  <si>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</si>
  <si>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</si>
  <si>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</si>
  <si>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</si>
  <si>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</si>
  <si>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</si>
  <si>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</si>
  <si>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</si>
  <si>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</si>
  <si>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</si>
  <si>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</si>
  <si>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</si>
  <si>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</si>
  <si>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</si>
  <si>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</si>
  <si>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</si>
  <si>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</si>
  <si>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</si>
  <si>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</si>
  <si>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</si>
  <si>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</si>
  <si>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</si>
  <si>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</si>
  <si>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</si>
  <si>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</si>
  <si>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</si>
  <si>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</si>
  <si>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</si>
  <si>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</si>
  <si>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</si>
  <si>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</si>
  <si>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</si>
  <si>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</si>
  <si>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</si>
  <si>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</si>
  <si>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</si>
  <si>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</si>
  <si>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</si>
  <si>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Rating</t>
  </si>
  <si>
    <t>Disount amount</t>
  </si>
  <si>
    <t>Rating category</t>
  </si>
  <si>
    <t>Review category</t>
  </si>
  <si>
    <t>Price category</t>
  </si>
  <si>
    <t>Row Labels</t>
  </si>
  <si>
    <t>Grand Total</t>
  </si>
  <si>
    <t>Average of Review</t>
  </si>
  <si>
    <t>Count of Review2</t>
  </si>
  <si>
    <t>Budget</t>
  </si>
  <si>
    <t>Average of Rating</t>
  </si>
  <si>
    <t>Average of Current price</t>
  </si>
  <si>
    <t>Discoungt category</t>
  </si>
  <si>
    <t>low discount</t>
  </si>
  <si>
    <t>medium discount</t>
  </si>
  <si>
    <t>Count of Review</t>
  </si>
  <si>
    <t>Average of Review2</t>
  </si>
  <si>
    <t>Count of Product</t>
  </si>
  <si>
    <t>Average of Discount</t>
  </si>
  <si>
    <t>high discount</t>
  </si>
  <si>
    <t>mid_range</t>
  </si>
  <si>
    <t>premium</t>
  </si>
  <si>
    <t>TOTAL PRODUCT</t>
  </si>
  <si>
    <t>TOTAL REVIEW</t>
  </si>
  <si>
    <t xml:space="preserve">AVERAGE CURRENT PRICE </t>
  </si>
  <si>
    <t>AVERAGE OLD PRICE</t>
  </si>
  <si>
    <t>AVERAGE DISCOUNT</t>
  </si>
  <si>
    <t xml:space="preserve">AVERAGE RATING </t>
  </si>
  <si>
    <t>MAX PRICE</t>
  </si>
  <si>
    <t xml:space="preserve"> MIN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</si>
</sst>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1" tint="0.499984740745262"/>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3" fontId="0" fillId="0" borderId="0" xfId="0" applyNumberFormat="1"/>
    <xf numFmtId="0" fontId="0" fillId="0" borderId="0" xfId="0" pivotButton="1"/>
    <xf numFmtId="9" fontId="0" fillId="0" borderId="0" xfId="0" applyNumberFormat="1" applyAlignment="1">
      <alignment horizontal="left"/>
    </xf>
    <xf numFmtId="0" fontId="0" fillId="0" borderId="0" xfId="0" applyAlignment="1">
      <alignment horizontal="left"/>
    </xf>
    <xf numFmtId="0" fontId="0" fillId="33" borderId="0" xfId="0" applyFill="1"/>
    <xf numFmtId="0" fontId="13" fillId="34" borderId="0" xfId="0" applyFont="1" applyFill="1" applyAlignment="1">
      <alignment horizontal="center"/>
    </xf>
    <xf numFmtId="0" fontId="18" fillId="35" borderId="0" xfId="0" applyFont="1" applyFill="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1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data_cleared!$F$1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xVal>
            <c:numRef>
              <c:f>data_cleared!$E$2:$E$116</c:f>
              <c:numCache>
                <c:formatCode>0%</c:formatCode>
                <c:ptCount val="115"/>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0.42</c:v>
                </c:pt>
                <c:pt idx="44">
                  <c:v>0.02</c:v>
                </c:pt>
                <c:pt idx="45">
                  <c:v>0.5</c:v>
                </c:pt>
                <c:pt idx="46">
                  <c:v>0.33</c:v>
                </c:pt>
                <c:pt idx="47">
                  <c:v>0.49</c:v>
                </c:pt>
                <c:pt idx="48">
                  <c:v>0.38</c:v>
                </c:pt>
                <c:pt idx="49">
                  <c:v>0.61</c:v>
                </c:pt>
                <c:pt idx="50">
                  <c:v>0.5</c:v>
                </c:pt>
                <c:pt idx="51">
                  <c:v>0.02</c:v>
                </c:pt>
                <c:pt idx="52">
                  <c:v>0.22</c:v>
                </c:pt>
                <c:pt idx="53">
                  <c:v>0.03</c:v>
                </c:pt>
                <c:pt idx="54">
                  <c:v>0.41</c:v>
                </c:pt>
                <c:pt idx="55">
                  <c:v>0.45</c:v>
                </c:pt>
                <c:pt idx="56">
                  <c:v>0.48</c:v>
                </c:pt>
                <c:pt idx="57">
                  <c:v>0.49</c:v>
                </c:pt>
                <c:pt idx="58">
                  <c:v>0.27</c:v>
                </c:pt>
                <c:pt idx="59">
                  <c:v>0.55000000000000004</c:v>
                </c:pt>
                <c:pt idx="60">
                  <c:v>0.13</c:v>
                </c:pt>
                <c:pt idx="61">
                  <c:v>0.54</c:v>
                </c:pt>
                <c:pt idx="62">
                  <c:v>0.55000000000000004</c:v>
                </c:pt>
                <c:pt idx="63">
                  <c:v>0.49</c:v>
                </c:pt>
                <c:pt idx="64">
                  <c:v>0.52</c:v>
                </c:pt>
                <c:pt idx="65">
                  <c:v>0.22</c:v>
                </c:pt>
                <c:pt idx="66">
                  <c:v>0.45</c:v>
                </c:pt>
                <c:pt idx="67">
                  <c:v>0.5</c:v>
                </c:pt>
                <c:pt idx="68">
                  <c:v>0.39</c:v>
                </c:pt>
                <c:pt idx="69">
                  <c:v>0.45</c:v>
                </c:pt>
                <c:pt idx="70">
                  <c:v>0.28999999999999998</c:v>
                </c:pt>
                <c:pt idx="71">
                  <c:v>0.43</c:v>
                </c:pt>
                <c:pt idx="72">
                  <c:v>0.43</c:v>
                </c:pt>
                <c:pt idx="73">
                  <c:v>0.47</c:v>
                </c:pt>
                <c:pt idx="74">
                  <c:v>0.47</c:v>
                </c:pt>
                <c:pt idx="75">
                  <c:v>0.47</c:v>
                </c:pt>
                <c:pt idx="76">
                  <c:v>0.43</c:v>
                </c:pt>
                <c:pt idx="77">
                  <c:v>0.04</c:v>
                </c:pt>
                <c:pt idx="78">
                  <c:v>0.49</c:v>
                </c:pt>
                <c:pt idx="79">
                  <c:v>0.46</c:v>
                </c:pt>
                <c:pt idx="80">
                  <c:v>0.49</c:v>
                </c:pt>
                <c:pt idx="81">
                  <c:v>0.36</c:v>
                </c:pt>
                <c:pt idx="82">
                  <c:v>0.02</c:v>
                </c:pt>
                <c:pt idx="83">
                  <c:v>0.49</c:v>
                </c:pt>
                <c:pt idx="84">
                  <c:v>0.42</c:v>
                </c:pt>
                <c:pt idx="85">
                  <c:v>0.49</c:v>
                </c:pt>
                <c:pt idx="86">
                  <c:v>0.14000000000000001</c:v>
                </c:pt>
                <c:pt idx="87">
                  <c:v>0.49</c:v>
                </c:pt>
                <c:pt idx="88">
                  <c:v>0.11</c:v>
                </c:pt>
                <c:pt idx="89">
                  <c:v>0.49</c:v>
                </c:pt>
                <c:pt idx="90">
                  <c:v>0.14000000000000001</c:v>
                </c:pt>
                <c:pt idx="91">
                  <c:v>0.43</c:v>
                </c:pt>
                <c:pt idx="92">
                  <c:v>0.5</c:v>
                </c:pt>
                <c:pt idx="93">
                  <c:v>0.48</c:v>
                </c:pt>
                <c:pt idx="94">
                  <c:v>0.48</c:v>
                </c:pt>
                <c:pt idx="95">
                  <c:v>0.47</c:v>
                </c:pt>
                <c:pt idx="96">
                  <c:v>0.47</c:v>
                </c:pt>
                <c:pt idx="97">
                  <c:v>0.5</c:v>
                </c:pt>
                <c:pt idx="98">
                  <c:v>0.08</c:v>
                </c:pt>
                <c:pt idx="99">
                  <c:v>0.02</c:v>
                </c:pt>
                <c:pt idx="100">
                  <c:v>0.49</c:v>
                </c:pt>
                <c:pt idx="101">
                  <c:v>0.04</c:v>
                </c:pt>
                <c:pt idx="102">
                  <c:v>0.49</c:v>
                </c:pt>
                <c:pt idx="103">
                  <c:v>0.42</c:v>
                </c:pt>
                <c:pt idx="104">
                  <c:v>0.21</c:v>
                </c:pt>
                <c:pt idx="105">
                  <c:v>0.41</c:v>
                </c:pt>
                <c:pt idx="106">
                  <c:v>0.01</c:v>
                </c:pt>
                <c:pt idx="107">
                  <c:v>0.24</c:v>
                </c:pt>
                <c:pt idx="108">
                  <c:v>0.34</c:v>
                </c:pt>
                <c:pt idx="109">
                  <c:v>0.34</c:v>
                </c:pt>
                <c:pt idx="110">
                  <c:v>0.02</c:v>
                </c:pt>
                <c:pt idx="111">
                  <c:v>0.02</c:v>
                </c:pt>
                <c:pt idx="112">
                  <c:v>0.64</c:v>
                </c:pt>
                <c:pt idx="113">
                  <c:v>0.5</c:v>
                </c:pt>
                <c:pt idx="114">
                  <c:v>0.47</c:v>
                </c:pt>
              </c:numCache>
            </c:numRef>
          </c:xVal>
          <c:yVal>
            <c:numRef>
              <c:f>data_cleared!$F$2:$F$116</c:f>
              <c:numCache>
                <c:formatCode>General</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6</c:v>
                </c:pt>
                <c:pt idx="61">
                  <c:v>10</c:v>
                </c:pt>
                <c:pt idx="62">
                  <c:v>13</c:v>
                </c:pt>
                <c:pt idx="63">
                  <c:v>69</c:v>
                </c:pt>
                <c:pt idx="64">
                  <c:v>15</c:v>
                </c:pt>
                <c:pt idx="65">
                  <c:v>16</c:v>
                </c:pt>
                <c:pt idx="66">
                  <c:v>6</c:v>
                </c:pt>
                <c:pt idx="67">
                  <c:v>7</c:v>
                </c:pt>
                <c:pt idx="68">
                  <c:v>5</c:v>
                </c:pt>
                <c:pt idx="69">
                  <c:v>17</c:v>
                </c:pt>
                <c:pt idx="70">
                  <c:v>5</c:v>
                </c:pt>
                <c:pt idx="71">
                  <c:v>6</c:v>
                </c:pt>
                <c:pt idx="72">
                  <c:v>5</c:v>
                </c:pt>
                <c:pt idx="73">
                  <c:v>6</c:v>
                </c:pt>
                <c:pt idx="74">
                  <c:v>7</c:v>
                </c:pt>
                <c:pt idx="75">
                  <c:v>0</c:v>
                </c:pt>
                <c:pt idx="76">
                  <c:v>0</c:v>
                </c:pt>
                <c:pt idx="77">
                  <c:v>0</c:v>
                </c:pt>
                <c:pt idx="78">
                  <c:v>0</c:v>
                </c:pt>
                <c:pt idx="79">
                  <c:v>1</c:v>
                </c:pt>
                <c:pt idx="80">
                  <c:v>1</c:v>
                </c:pt>
                <c:pt idx="81">
                  <c:v>0</c:v>
                </c:pt>
                <c:pt idx="82">
                  <c:v>0</c:v>
                </c:pt>
                <c:pt idx="83">
                  <c:v>1</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1</c:v>
                </c:pt>
                <c:pt idx="105">
                  <c:v>0</c:v>
                </c:pt>
                <c:pt idx="106">
                  <c:v>0</c:v>
                </c:pt>
                <c:pt idx="107">
                  <c:v>0</c:v>
                </c:pt>
                <c:pt idx="108">
                  <c:v>0</c:v>
                </c:pt>
                <c:pt idx="109">
                  <c:v>0</c:v>
                </c:pt>
                <c:pt idx="110">
                  <c:v>0</c:v>
                </c:pt>
                <c:pt idx="111">
                  <c:v>0</c:v>
                </c:pt>
                <c:pt idx="112">
                  <c:v>0</c:v>
                </c:pt>
                <c:pt idx="113">
                  <c:v>1</c:v>
                </c:pt>
                <c:pt idx="114">
                  <c:v>0</c:v>
                </c:pt>
              </c:numCache>
            </c:numRef>
          </c:yVal>
          <c:smooth val="0"/>
          <c:extLst>
            <c:ext xmlns:c16="http://schemas.microsoft.com/office/drawing/2014/chart" uri="{C3380CC4-5D6E-409C-BE32-E72D297353CC}">
              <c16:uniqueId val="{00000000-2173-44C3-9323-96215ADB469E}"/>
            </c:ext>
          </c:extLst>
        </c:ser>
        <c:dLbls>
          <c:showLegendKey val="0"/>
          <c:showVal val="0"/>
          <c:showCatName val="0"/>
          <c:showSerName val="0"/>
          <c:showPercent val="0"/>
          <c:showBubbleSize val="0"/>
        </c:dLbls>
        <c:axId val="1926378992"/>
        <c:axId val="1189483456"/>
      </c:scatterChart>
      <c:valAx>
        <c:axId val="1926378992"/>
        <c:scaling>
          <c:orientation val="minMax"/>
        </c:scaling>
        <c:delete val="0"/>
        <c:axPos val="b"/>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83456"/>
        <c:crosses val="autoZero"/>
        <c:crossBetween val="midCat"/>
      </c:valAx>
      <c:valAx>
        <c:axId val="1189483456"/>
        <c:scaling>
          <c:orientation val="minMax"/>
        </c:scaling>
        <c:delete val="0"/>
        <c:axPos val="l"/>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3789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[DASHBOARD.xlsx]analyzed!PivotTable4</c:name>
    <c:fmtId val="3"/>
  </c:pivotSource>
  <c:chart>
    <c:title>
      <c:tx>
        <c:rich>
          <a:bodyPr rot="0" spcFirstLastPara="1" vertOverflow="ellipsis" vert="horz" wrap="square" anchor="ctr" anchorCtr="1"/>
          <a:lstStyle/>
          <a:p>
            <a:pPr algn="ctr" rtl="0">
              <a:defRPr lang="en-GB" sz="1400" b="1" i="0" u="none" strike="noStrike" kern="1200" spc="0" baseline="0">
                <a:solidFill>
                  <a:sysClr val="windowText" lastClr="000000">
                    <a:lumMod val="65000"/>
                    <a:lumOff val="35000"/>
                  </a:sysClr>
                </a:solidFill>
                <a:latin typeface="+mn-lt"/>
                <a:ea typeface="+mn-ea"/>
                <a:cs typeface="+mn-cs"/>
              </a:defRPr>
            </a:pPr>
            <a:r>
              <a:rPr lang="en-GB" sz="1400" b="1" i="0" u="none" strike="noStrike" kern="1200" spc="0" baseline="0">
                <a:solidFill>
                  <a:sysClr val="windowText" lastClr="000000">
                    <a:lumMod val="65000"/>
                    <a:lumOff val="35000"/>
                  </a:sysClr>
                </a:solidFill>
                <a:latin typeface="+mn-lt"/>
                <a:ea typeface="+mn-ea"/>
                <a:cs typeface="+mn-cs"/>
              </a:rPr>
              <a:t>price category vs review</a:t>
            </a:r>
          </a:p>
        </c:rich>
      </c:tx>
      <c:overlay val="0"/>
      <c:spPr>
        <a:noFill/>
        <a:ln>
          <a:noFill/>
        </a:ln>
        <a:effectLst/>
      </c:spPr>
      <c:txPr>
        <a:bodyPr rot="0" spcFirstLastPara="1" vertOverflow="ellipsis" vert="horz" wrap="square" anchor="ctr" anchorCtr="1"/>
        <a:lstStyle/>
        <a:p>
          <a:pPr algn="ctr" rtl="0">
            <a:defRPr lang="en-GB"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06244615343095"/>
          <c:y val="0.15796770573795849"/>
          <c:w val="0.71534431108866381"/>
          <c:h val="0.63232229087724434"/>
        </c:manualLayout>
      </c:layout>
      <c:barChart>
        <c:barDir val="bar"/>
        <c:grouping val="clustered"/>
        <c:varyColors val="0"/>
        <c:ser>
          <c:idx val="0"/>
          <c:order val="0"/>
          <c:tx>
            <c:strRef>
              <c:f>analyzed!$I$3</c:f>
              <c:strCache>
                <c:ptCount val="1"/>
                <c:pt idx="0">
                  <c:v>Average of Review</c:v>
                </c:pt>
              </c:strCache>
            </c:strRef>
          </c:tx>
          <c:spPr>
            <a:solidFill>
              <a:schemeClr val="accent1"/>
            </a:solidFill>
            <a:ln>
              <a:noFill/>
            </a:ln>
            <a:effectLst/>
          </c:spPr>
          <c:invertIfNegative val="0"/>
          <c:cat>
            <c:strRef>
              <c:f>analyzed!$H$4:$H$7</c:f>
              <c:strCache>
                <c:ptCount val="3"/>
                <c:pt idx="0">
                  <c:v>Budget</c:v>
                </c:pt>
                <c:pt idx="1">
                  <c:v>mid_range</c:v>
                </c:pt>
                <c:pt idx="2">
                  <c:v>premium</c:v>
                </c:pt>
              </c:strCache>
            </c:strRef>
          </c:cat>
          <c:val>
            <c:numRef>
              <c:f>analyzed!$I$4:$I$7</c:f>
              <c:numCache>
                <c:formatCode>General</c:formatCode>
                <c:ptCount val="3"/>
                <c:pt idx="0">
                  <c:v>6.65</c:v>
                </c:pt>
                <c:pt idx="1">
                  <c:v>4.5526315789473681</c:v>
                </c:pt>
                <c:pt idx="2">
                  <c:v>8.882352941176471</c:v>
                </c:pt>
              </c:numCache>
            </c:numRef>
          </c:val>
          <c:extLst>
            <c:ext xmlns:c16="http://schemas.microsoft.com/office/drawing/2014/chart" uri="{C3380CC4-5D6E-409C-BE32-E72D297353CC}">
              <c16:uniqueId val="{00000000-4D6D-46CD-AAF0-ED22B6F9D4F9}"/>
            </c:ext>
          </c:extLst>
        </c:ser>
        <c:ser>
          <c:idx val="1"/>
          <c:order val="1"/>
          <c:tx>
            <c:strRef>
              <c:f>analyzed!$J$3</c:f>
              <c:strCache>
                <c:ptCount val="1"/>
                <c:pt idx="0">
                  <c:v>Count of Review2</c:v>
                </c:pt>
              </c:strCache>
            </c:strRef>
          </c:tx>
          <c:spPr>
            <a:solidFill>
              <a:schemeClr val="accent2"/>
            </a:solidFill>
            <a:ln>
              <a:noFill/>
            </a:ln>
            <a:effectLst/>
          </c:spPr>
          <c:invertIfNegative val="0"/>
          <c:cat>
            <c:strRef>
              <c:f>analyzed!$H$4:$H$7</c:f>
              <c:strCache>
                <c:ptCount val="3"/>
                <c:pt idx="0">
                  <c:v>Budget</c:v>
                </c:pt>
                <c:pt idx="1">
                  <c:v>mid_range</c:v>
                </c:pt>
                <c:pt idx="2">
                  <c:v>premium</c:v>
                </c:pt>
              </c:strCache>
            </c:strRef>
          </c:cat>
          <c:val>
            <c:numRef>
              <c:f>analyzed!$J$4:$J$7</c:f>
              <c:numCache>
                <c:formatCode>General</c:formatCode>
                <c:ptCount val="3"/>
                <c:pt idx="0">
                  <c:v>60</c:v>
                </c:pt>
                <c:pt idx="1">
                  <c:v>38</c:v>
                </c:pt>
                <c:pt idx="2">
                  <c:v>17</c:v>
                </c:pt>
              </c:numCache>
            </c:numRef>
          </c:val>
          <c:extLst>
            <c:ext xmlns:c16="http://schemas.microsoft.com/office/drawing/2014/chart" uri="{C3380CC4-5D6E-409C-BE32-E72D297353CC}">
              <c16:uniqueId val="{00000001-4D6D-46CD-AAF0-ED22B6F9D4F9}"/>
            </c:ext>
          </c:extLst>
        </c:ser>
        <c:dLbls>
          <c:showLegendKey val="0"/>
          <c:showVal val="0"/>
          <c:showCatName val="0"/>
          <c:showSerName val="0"/>
          <c:showPercent val="0"/>
          <c:showBubbleSize val="0"/>
        </c:dLbls>
        <c:gapWidth val="182"/>
        <c:axId val="1201665536"/>
        <c:axId val="1189436416"/>
      </c:barChart>
      <c:catAx>
        <c:axId val="120166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89436416"/>
        <c:crosses val="autoZero"/>
        <c:auto val="1"/>
        <c:lblAlgn val="ctr"/>
        <c:lblOffset val="100"/>
        <c:noMultiLvlLbl val="0"/>
      </c:catAx>
      <c:valAx>
        <c:axId val="1189436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0166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[DASHBOARD.xlsx]analyzed!PivotTable5</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b="1"/>
              <a:t>price category vs rating </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51399726781916E-2"/>
          <c:y val="0.22507476721700628"/>
          <c:w val="0.91763365075134973"/>
          <c:h val="0.63415023396560355"/>
        </c:manualLayout>
      </c:layout>
      <c:barChart>
        <c:barDir val="col"/>
        <c:grouping val="stacked"/>
        <c:varyColors val="0"/>
        <c:ser>
          <c:idx val="0"/>
          <c:order val="0"/>
          <c:tx>
            <c:strRef>
              <c:f>analyzed!$O$3</c:f>
              <c:strCache>
                <c:ptCount val="1"/>
                <c:pt idx="0">
                  <c:v>Average of Rating</c:v>
                </c:pt>
              </c:strCache>
            </c:strRef>
          </c:tx>
          <c:spPr>
            <a:solidFill>
              <a:schemeClr val="accent1"/>
            </a:solidFill>
            <a:ln>
              <a:noFill/>
            </a:ln>
            <a:effectLst/>
          </c:spPr>
          <c:invertIfNegative val="0"/>
          <c:cat>
            <c:strRef>
              <c:f>analyzed!$N$4:$N$7</c:f>
              <c:strCache>
                <c:ptCount val="3"/>
                <c:pt idx="0">
                  <c:v>Budget</c:v>
                </c:pt>
                <c:pt idx="1">
                  <c:v>mid_range</c:v>
                </c:pt>
                <c:pt idx="2">
                  <c:v>premium</c:v>
                </c:pt>
              </c:strCache>
            </c:strRef>
          </c:cat>
          <c:val>
            <c:numRef>
              <c:f>analyzed!$O$4:$O$7</c:f>
              <c:numCache>
                <c:formatCode>General</c:formatCode>
                <c:ptCount val="3"/>
                <c:pt idx="0">
                  <c:v>1.7883333333333333</c:v>
                </c:pt>
                <c:pt idx="1">
                  <c:v>1.7868421052631576</c:v>
                </c:pt>
                <c:pt idx="2">
                  <c:v>2.7352941176470589</c:v>
                </c:pt>
              </c:numCache>
            </c:numRef>
          </c:val>
          <c:extLst>
            <c:ext xmlns:c16="http://schemas.microsoft.com/office/drawing/2014/chart" uri="{C3380CC4-5D6E-409C-BE32-E72D297353CC}">
              <c16:uniqueId val="{00000000-B3D7-467C-92AC-E2D81FC461C3}"/>
            </c:ext>
          </c:extLst>
        </c:ser>
        <c:ser>
          <c:idx val="1"/>
          <c:order val="1"/>
          <c:tx>
            <c:strRef>
              <c:f>analyzed!$P$3</c:f>
              <c:strCache>
                <c:ptCount val="1"/>
                <c:pt idx="0">
                  <c:v>Average of Current price</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analyzed!$N$4:$N$7</c:f>
              <c:strCache>
                <c:ptCount val="3"/>
                <c:pt idx="0">
                  <c:v>Budget</c:v>
                </c:pt>
                <c:pt idx="1">
                  <c:v>mid_range</c:v>
                </c:pt>
                <c:pt idx="2">
                  <c:v>premium</c:v>
                </c:pt>
              </c:strCache>
            </c:strRef>
          </c:cat>
          <c:val>
            <c:numRef>
              <c:f>analyzed!$P$4:$P$7</c:f>
              <c:numCache>
                <c:formatCode>General</c:formatCode>
                <c:ptCount val="3"/>
                <c:pt idx="0">
                  <c:v>543.65</c:v>
                </c:pt>
                <c:pt idx="1">
                  <c:v>1519.5</c:v>
                </c:pt>
                <c:pt idx="2">
                  <c:v>2639.4705882352941</c:v>
                </c:pt>
              </c:numCache>
            </c:numRef>
          </c:val>
          <c:extLst>
            <c:ext xmlns:c16="http://schemas.microsoft.com/office/drawing/2014/chart" uri="{C3380CC4-5D6E-409C-BE32-E72D297353CC}">
              <c16:uniqueId val="{00000001-B3D7-467C-92AC-E2D81FC461C3}"/>
            </c:ext>
          </c:extLst>
        </c:ser>
        <c:dLbls>
          <c:showLegendKey val="0"/>
          <c:showVal val="0"/>
          <c:showCatName val="0"/>
          <c:showSerName val="0"/>
          <c:showPercent val="0"/>
          <c:showBubbleSize val="0"/>
        </c:dLbls>
        <c:gapWidth val="150"/>
        <c:overlap val="100"/>
        <c:axId val="1211669376"/>
        <c:axId val="1189491616"/>
      </c:barChart>
      <c:catAx>
        <c:axId val="1211669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91616"/>
        <c:crosses val="autoZero"/>
        <c:auto val="1"/>
        <c:lblAlgn val="ctr"/>
        <c:lblOffset val="100"/>
        <c:noMultiLvlLbl val="0"/>
      </c:catAx>
      <c:valAx>
        <c:axId val="1189491616"/>
        <c:scaling>
          <c:orientation val="minMax"/>
        </c:scaling>
        <c:delete val="1"/>
        <c:axPos val="l"/>
        <c:numFmt formatCode="General" sourceLinked="1"/>
        <c:majorTickMark val="out"/>
        <c:minorTickMark val="none"/>
        <c:tickLblPos val="nextTo"/>
        <c:crossAx val="121166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[DASHBOARD.xlsx]analyzed!PivotTable12</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10 performance by Discount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analyzed!$T$11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87-413C-855E-6082A2B6E5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87-413C-855E-6082A2B6E5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87-413C-855E-6082A2B6E5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87-413C-855E-6082A2B6E5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87-413C-855E-6082A2B6E5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87-413C-855E-6082A2B6E5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87-413C-855E-6082A2B6E5B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387-413C-855E-6082A2B6E5B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387-413C-855E-6082A2B6E5B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387-413C-855E-6082A2B6E5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analyzed!$S$12:$S$22</c:f>
              <c:strCache>
                <c:ptCount val="10"/>
                <c:pt idx="0">
                  <c:v>48%</c:v>
                </c:pt>
                <c:pt idx="1">
                  <c:v>49%</c:v>
                </c:pt>
                <c:pt idx="2">
                  <c:v>50%</c:v>
                </c:pt>
                <c:pt idx="3">
                  <c:v>51%</c:v>
                </c:pt>
                <c:pt idx="4">
                  <c:v>52%</c:v>
                </c:pt>
                <c:pt idx="5">
                  <c:v>53%</c:v>
                </c:pt>
                <c:pt idx="6">
                  <c:v>54%</c:v>
                </c:pt>
                <c:pt idx="7">
                  <c:v>55%</c:v>
                </c:pt>
                <c:pt idx="8">
                  <c:v>61%</c:v>
                </c:pt>
                <c:pt idx="9">
                  <c:v>64%</c:v>
                </c:pt>
              </c:strCache>
            </c:strRef>
          </c:cat>
          <c:val>
            <c:numRef>
              <c:f>analyzed!$T$12:$T$22</c:f>
              <c:numCache>
                <c:formatCode>0%</c:formatCode>
                <c:ptCount val="10"/>
                <c:pt idx="0">
                  <c:v>0.48</c:v>
                </c:pt>
                <c:pt idx="1">
                  <c:v>0.49000000000000016</c:v>
                </c:pt>
                <c:pt idx="2">
                  <c:v>0.5</c:v>
                </c:pt>
                <c:pt idx="3">
                  <c:v>0.51</c:v>
                </c:pt>
                <c:pt idx="4">
                  <c:v>0.52</c:v>
                </c:pt>
                <c:pt idx="5">
                  <c:v>0.53</c:v>
                </c:pt>
                <c:pt idx="6">
                  <c:v>0.54</c:v>
                </c:pt>
                <c:pt idx="7">
                  <c:v>0.55000000000000004</c:v>
                </c:pt>
                <c:pt idx="8">
                  <c:v>0.61</c:v>
                </c:pt>
                <c:pt idx="9">
                  <c:v>0.64</c:v>
                </c:pt>
              </c:numCache>
            </c:numRef>
          </c:val>
          <c:extLst>
            <c:ext xmlns:c16="http://schemas.microsoft.com/office/drawing/2014/chart" uri="{C3380CC4-5D6E-409C-BE32-E72D297353CC}">
              <c16:uniqueId val="{00000014-A387-413C-855E-6082A2B6E5B2}"/>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[DASHBOARD.xlsx]analyzed!PivotTable17</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10  performances by Rating</a:t>
            </a:r>
          </a:p>
        </c:rich>
      </c:tx>
      <c:layout>
        <c:manualLayout>
          <c:xMode val="edge"/>
          <c:yMode val="edge"/>
          <c:x val="0.1801028879419824"/>
          <c:y val="0.11270394310965265"/>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analyzed!$C$39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analyzed!$B$40:$B$50</c:f>
              <c:strCache>
                <c:ptCount val="10"/>
                <c:pt idx="0">
                  <c:v>4</c:v>
                </c:pt>
                <c:pt idx="1">
                  <c:v>4.1</c:v>
                </c:pt>
                <c:pt idx="2">
                  <c:v>4.2</c:v>
                </c:pt>
                <c:pt idx="3">
                  <c:v>4.3</c:v>
                </c:pt>
                <c:pt idx="4">
                  <c:v>4.4</c:v>
                </c:pt>
                <c:pt idx="5">
                  <c:v>4.5</c:v>
                </c:pt>
                <c:pt idx="6">
                  <c:v>4.6</c:v>
                </c:pt>
                <c:pt idx="7">
                  <c:v>4.7</c:v>
                </c:pt>
                <c:pt idx="8">
                  <c:v>4.8</c:v>
                </c:pt>
                <c:pt idx="9">
                  <c:v>5</c:v>
                </c:pt>
              </c:strCache>
            </c:strRef>
          </c:cat>
          <c:val>
            <c:numRef>
              <c:f>analyzed!$C$40:$C$50</c:f>
              <c:numCache>
                <c:formatCode>General</c:formatCode>
                <c:ptCount val="10"/>
                <c:pt idx="0">
                  <c:v>4</c:v>
                </c:pt>
                <c:pt idx="1">
                  <c:v>4.0999999999999996</c:v>
                </c:pt>
                <c:pt idx="2">
                  <c:v>4.2</c:v>
                </c:pt>
                <c:pt idx="3">
                  <c:v>4.3</c:v>
                </c:pt>
                <c:pt idx="4">
                  <c:v>4.4000000000000004</c:v>
                </c:pt>
                <c:pt idx="5">
                  <c:v>4.5</c:v>
                </c:pt>
                <c:pt idx="6">
                  <c:v>4.5999999999999996</c:v>
                </c:pt>
                <c:pt idx="7">
                  <c:v>4.7</c:v>
                </c:pt>
                <c:pt idx="8">
                  <c:v>4.8</c:v>
                </c:pt>
                <c:pt idx="9">
                  <c:v>5</c:v>
                </c:pt>
              </c:numCache>
            </c:numRef>
          </c:val>
          <c:extLst>
            <c:ext xmlns:c16="http://schemas.microsoft.com/office/drawing/2014/chart" uri="{C3380CC4-5D6E-409C-BE32-E72D297353CC}">
              <c16:uniqueId val="{00000000-ADEB-4138-8B99-76B2CFA23704}"/>
            </c:ext>
          </c:extLst>
        </c:ser>
        <c:dLbls>
          <c:dLblPos val="outEnd"/>
          <c:showLegendKey val="0"/>
          <c:showVal val="1"/>
          <c:showCatName val="0"/>
          <c:showSerName val="0"/>
          <c:showPercent val="0"/>
          <c:showBubbleSize val="0"/>
        </c:dLbls>
        <c:gapWidth val="219"/>
        <c:overlap val="-27"/>
        <c:axId val="1926412400"/>
        <c:axId val="1189439296"/>
      </c:barChart>
      <c:catAx>
        <c:axId val="1926412400"/>
        <c:scaling>
          <c:orientation val="minMax"/>
        </c:scaling>
        <c:delete val="1"/>
        <c:axPos val="b"/>
        <c:numFmt formatCode="General" sourceLinked="1"/>
        <c:majorTickMark val="none"/>
        <c:minorTickMark val="none"/>
        <c:tickLblPos val="nextTo"/>
        <c:crossAx val="1189439296"/>
        <c:crosses val="autoZero"/>
        <c:auto val="1"/>
        <c:lblAlgn val="ctr"/>
        <c:lblOffset val="100"/>
        <c:noMultiLvlLbl val="0"/>
      </c:catAx>
      <c:valAx>
        <c:axId val="1189439296"/>
        <c:scaling>
          <c:orientation val="minMax"/>
        </c:scaling>
        <c:delete val="1"/>
        <c:axPos val="l"/>
        <c:numFmt formatCode="General" sourceLinked="1"/>
        <c:majorTickMark val="none"/>
        <c:minorTickMark val="none"/>
        <c:tickLblPos val="nextTo"/>
        <c:crossAx val="192641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[DASHBOARD.xlsx]analyzed!PivotTable18</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performance by Review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analyzed!$G$39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analyzed!$F$40:$F$50</c:f>
              <c:strCache>
                <c:ptCount val="10"/>
                <c:pt idx="0">
                  <c:v>17</c:v>
                </c:pt>
                <c:pt idx="1">
                  <c:v>20</c:v>
                </c:pt>
                <c:pt idx="2">
                  <c:v>24</c:v>
                </c:pt>
                <c:pt idx="3">
                  <c:v>32</c:v>
                </c:pt>
                <c:pt idx="4">
                  <c:v>36</c:v>
                </c:pt>
                <c:pt idx="5">
                  <c:v>39</c:v>
                </c:pt>
                <c:pt idx="6">
                  <c:v>44</c:v>
                </c:pt>
                <c:pt idx="7">
                  <c:v>49</c:v>
                </c:pt>
                <c:pt idx="8">
                  <c:v>55</c:v>
                </c:pt>
                <c:pt idx="9">
                  <c:v>69</c:v>
                </c:pt>
              </c:strCache>
            </c:strRef>
          </c:cat>
          <c:val>
            <c:numRef>
              <c:f>analyzed!$G$40:$G$50</c:f>
              <c:numCache>
                <c:formatCode>General</c:formatCode>
                <c:ptCount val="10"/>
                <c:pt idx="0">
                  <c:v>17</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193A-4019-8B00-B79E7D5DD6C3}"/>
            </c:ext>
          </c:extLst>
        </c:ser>
        <c:dLbls>
          <c:dLblPos val="outEnd"/>
          <c:showLegendKey val="0"/>
          <c:showVal val="1"/>
          <c:showCatName val="0"/>
          <c:showSerName val="0"/>
          <c:showPercent val="0"/>
          <c:showBubbleSize val="0"/>
        </c:dLbls>
        <c:gapWidth val="182"/>
        <c:axId val="1820795424"/>
        <c:axId val="1189499296"/>
      </c:barChart>
      <c:catAx>
        <c:axId val="1820795424"/>
        <c:scaling>
          <c:orientation val="minMax"/>
        </c:scaling>
        <c:delete val="1"/>
        <c:axPos val="l"/>
        <c:numFmt formatCode="General" sourceLinked="1"/>
        <c:majorTickMark val="none"/>
        <c:minorTickMark val="none"/>
        <c:tickLblPos val="nextTo"/>
        <c:crossAx val="1189499296"/>
        <c:crosses val="autoZero"/>
        <c:auto val="1"/>
        <c:lblAlgn val="ctr"/>
        <c:lblOffset val="100"/>
        <c:noMultiLvlLbl val="0"/>
      </c:catAx>
      <c:valAx>
        <c:axId val="1189499296"/>
        <c:scaling>
          <c:orientation val="minMax"/>
        </c:scaling>
        <c:delete val="1"/>
        <c:axPos val="b"/>
        <c:numFmt formatCode="General" sourceLinked="1"/>
        <c:majorTickMark val="none"/>
        <c:minorTickMark val="none"/>
        <c:tickLblPos val="nextTo"/>
        <c:crossAx val="182079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xdr:colOff>
      <xdr:row>8</xdr:row>
      <xdr:rowOff>29733</xdr:rowOff>
    </xdr:from>
    <xdr:to>
      <xdr:col>6</xdr:col>
      <xdr:colOff>457201</xdr:colOff>
      <xdr:row>18</xdr:row>
      <xdr:rowOff>99234</xdr:rowOff>
    </xdr:to>
    <xdr:graphicFrame macro="">
      <xdr:nvGraphicFramePr>
        <xdr:cNvPr id="2" name="Chart 1">
          <a:extLst>
            <a:ext uri="{FF2B5EF4-FFF2-40B4-BE49-F238E27FC236}">
              <a16:creationId xmlns:a16="http://schemas.microsoft.com/office/drawing/2014/main" id="{399815CD-383F-4B2E-AF34-7DBAB6B96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533401</xdr:colOff>
      <xdr:row>8</xdr:row>
      <xdr:rowOff>45904</xdr:rowOff>
    </xdr:from>
    <xdr:to>
      <xdr:col>12</xdr:col>
      <xdr:colOff>247650</xdr:colOff>
      <xdr:row>18</xdr:row>
      <xdr:rowOff>99234</xdr:rowOff>
    </xdr:to>
    <xdr:graphicFrame macro="">
      <xdr:nvGraphicFramePr>
        <xdr:cNvPr id="3" name="Chart 2">
          <a:extLst>
            <a:ext uri="{FF2B5EF4-FFF2-40B4-BE49-F238E27FC236}">
              <a16:creationId xmlns:a16="http://schemas.microsoft.com/office/drawing/2014/main" id="{4ECBE227-C5E8-4922-A4C2-1F8EE7D6A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312143</xdr:colOff>
      <xdr:row>8</xdr:row>
      <xdr:rowOff>45904</xdr:rowOff>
    </xdr:from>
    <xdr:to>
      <xdr:col>18</xdr:col>
      <xdr:colOff>218041</xdr:colOff>
      <xdr:row>18</xdr:row>
      <xdr:rowOff>123969</xdr:rowOff>
    </xdr:to>
    <xdr:graphicFrame macro="">
      <xdr:nvGraphicFramePr>
        <xdr:cNvPr id="4" name="Chart 3">
          <a:extLst>
            <a:ext uri="{FF2B5EF4-FFF2-40B4-BE49-F238E27FC236}">
              <a16:creationId xmlns:a16="http://schemas.microsoft.com/office/drawing/2014/main" id="{6CD4E682-BFCF-4E5A-8BC0-519714E09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20657</xdr:colOff>
      <xdr:row>18</xdr:row>
      <xdr:rowOff>181205</xdr:rowOff>
    </xdr:from>
    <xdr:to>
      <xdr:col>6</xdr:col>
      <xdr:colOff>466956</xdr:colOff>
      <xdr:row>32</xdr:row>
      <xdr:rowOff>91808</xdr:rowOff>
    </xdr:to>
    <xdr:graphicFrame macro="">
      <xdr:nvGraphicFramePr>
        <xdr:cNvPr id="5" name="Chart 4">
          <a:extLst>
            <a:ext uri="{FF2B5EF4-FFF2-40B4-BE49-F238E27FC236}">
              <a16:creationId xmlns:a16="http://schemas.microsoft.com/office/drawing/2014/main" id="{06C2309E-5E29-4544-91FF-708C61D21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550844</xdr:colOff>
      <xdr:row>19</xdr:row>
      <xdr:rowOff>0</xdr:rowOff>
    </xdr:from>
    <xdr:to>
      <xdr:col>12</xdr:col>
      <xdr:colOff>195091</xdr:colOff>
      <xdr:row>32</xdr:row>
      <xdr:rowOff>137711</xdr:rowOff>
    </xdr:to>
    <xdr:graphicFrame macro="">
      <xdr:nvGraphicFramePr>
        <xdr:cNvPr id="6" name="Chart 5">
          <a:extLst>
            <a:ext uri="{FF2B5EF4-FFF2-40B4-BE49-F238E27FC236}">
              <a16:creationId xmlns:a16="http://schemas.microsoft.com/office/drawing/2014/main" id="{67227EAD-976E-4B03-B29E-B449C8696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275421</xdr:colOff>
      <xdr:row>19</xdr:row>
      <xdr:rowOff>11476</xdr:rowOff>
    </xdr:from>
    <xdr:to>
      <xdr:col>18</xdr:col>
      <xdr:colOff>275422</xdr:colOff>
      <xdr:row>32</xdr:row>
      <xdr:rowOff>80331</xdr:rowOff>
    </xdr:to>
    <xdr:graphicFrame macro="">
      <xdr:nvGraphicFramePr>
        <xdr:cNvPr id="7" name="Chart 6">
          <a:extLst>
            <a:ext uri="{FF2B5EF4-FFF2-40B4-BE49-F238E27FC236}">
              <a16:creationId xmlns:a16="http://schemas.microsoft.com/office/drawing/2014/main" id="{06DE62A7-B80E-433A-AD8B-75F31C404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22952</xdr:rowOff>
    </xdr:from>
    <xdr:to>
      <xdr:col>1</xdr:col>
      <xdr:colOff>573794</xdr:colOff>
      <xdr:row>11</xdr:row>
      <xdr:rowOff>91807</xdr:rowOff>
    </xdr:to>
    <mc:AlternateContent xmlns:mc="http://schemas.openxmlformats.org/markup-compatibility/2006" xmlns:a14="http://schemas.microsoft.com/office/drawing/2010/main">
      <mc:Choice Requires="a14">
        <xdr:graphicFrame macro="">
          <xdr:nvGraphicFramePr>
            <xdr:cNvPr id="18" name="Rating category">
              <a:extLst>
                <a:ext uri="{FF2B5EF4-FFF2-40B4-BE49-F238E27FC236}">
                  <a16:creationId xmlns:a16="http://schemas.microsoft.com/office/drawing/2014/main" id="{02352A50-2F42-4302-919B-D6547E53AC28}"/>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0" y="784952"/>
              <a:ext cx="1764419" cy="14023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11476</xdr:colOff>
      <xdr:row>11</xdr:row>
      <xdr:rowOff>126233</xdr:rowOff>
    </xdr:from>
    <xdr:to>
      <xdr:col>1</xdr:col>
      <xdr:colOff>562319</xdr:colOff>
      <xdr:row>18</xdr:row>
      <xdr:rowOff>103281</xdr:rowOff>
    </xdr:to>
    <mc:AlternateContent xmlns:mc="http://schemas.openxmlformats.org/markup-compatibility/2006" xmlns:a14="http://schemas.microsoft.com/office/drawing/2010/main">
      <mc:Choice Requires="a14">
        <xdr:graphicFrame macro="">
          <xdr:nvGraphicFramePr>
            <xdr:cNvPr id="19" name="Price category">
              <a:extLst>
                <a:ext uri="{FF2B5EF4-FFF2-40B4-BE49-F238E27FC236}">
                  <a16:creationId xmlns:a16="http://schemas.microsoft.com/office/drawing/2014/main" id="{F9B0083C-E2AA-4306-8028-436B62B10523}"/>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11476" y="2221733"/>
              <a:ext cx="1741468" cy="13105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114758</xdr:rowOff>
    </xdr:from>
    <xdr:to>
      <xdr:col>1</xdr:col>
      <xdr:colOff>605276</xdr:colOff>
      <xdr:row>32</xdr:row>
      <xdr:rowOff>103282</xdr:rowOff>
    </xdr:to>
    <mc:AlternateContent xmlns:mc="http://schemas.openxmlformats.org/markup-compatibility/2006" xmlns:a14="http://schemas.microsoft.com/office/drawing/2010/main">
      <mc:Choice Requires="a14">
        <xdr:graphicFrame macro="">
          <xdr:nvGraphicFramePr>
            <xdr:cNvPr id="20" name="Review category">
              <a:extLst>
                <a:ext uri="{FF2B5EF4-FFF2-40B4-BE49-F238E27FC236}">
                  <a16:creationId xmlns:a16="http://schemas.microsoft.com/office/drawing/2014/main" id="{4BFB2C1F-7940-4930-9D1E-F3A655EFFC7B}"/>
                </a:ext>
              </a:extLst>
            </xdr:cNvPr>
            <xdr:cNvGraphicFramePr/>
          </xdr:nvGraphicFramePr>
          <xdr:xfrm>
            <a:off x="0" y="0"/>
            <a:ext cx="0" cy="0"/>
          </xdr:xfrm>
          <a:graphic>
            <a:graphicData uri="http://schemas.microsoft.com/office/drawing/2010/slicer">
              <sle:slicer xmlns:sle="http://schemas.microsoft.com/office/drawing/2010/slicer" name="Review category"/>
            </a:graphicData>
          </a:graphic>
        </xdr:graphicFrame>
      </mc:Choice>
      <mc:Fallback xmlns="">
        <xdr:sp macro="" textlink="">
          <xdr:nvSpPr>
            <xdr:cNvPr id="0" name=""/>
            <xdr:cNvSpPr>
              <a:spLocks noTextEdit="1"/>
            </xdr:cNvSpPr>
          </xdr:nvSpPr>
          <xdr:spPr>
            <a:xfrm>
              <a:off x="0" y="3543758"/>
              <a:ext cx="1795901" cy="26555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103283</xdr:colOff>
      <xdr:row>4</xdr:row>
      <xdr:rowOff>80333</xdr:rowOff>
    </xdr:from>
    <xdr:to>
      <xdr:col>4</xdr:col>
      <xdr:colOff>539367</xdr:colOff>
      <xdr:row>7</xdr:row>
      <xdr:rowOff>80332</xdr:rowOff>
    </xdr:to>
    <xdr:grpSp>
      <xdr:nvGrpSpPr>
        <xdr:cNvPr id="33" name="Group 32">
          <a:extLst>
            <a:ext uri="{FF2B5EF4-FFF2-40B4-BE49-F238E27FC236}">
              <a16:creationId xmlns:a16="http://schemas.microsoft.com/office/drawing/2014/main" id="{B586A394-9216-8AF9-DA02-B5D582CEE4A1}"/>
            </a:ext>
          </a:extLst>
        </xdr:cNvPr>
        <xdr:cNvGrpSpPr/>
      </xdr:nvGrpSpPr>
      <xdr:grpSpPr>
        <a:xfrm>
          <a:off x="1903508" y="842333"/>
          <a:ext cx="1655284" cy="571499"/>
          <a:chOff x="1790241" y="780362"/>
          <a:chExt cx="1652530" cy="585271"/>
        </a:xfrm>
      </xdr:grpSpPr>
      <xdr:sp macro="" textlink="">
        <xdr:nvSpPr>
          <xdr:cNvPr id="8" name="Rectangle: Rounded Corners 7">
            <a:extLst>
              <a:ext uri="{FF2B5EF4-FFF2-40B4-BE49-F238E27FC236}">
                <a16:creationId xmlns:a16="http://schemas.microsoft.com/office/drawing/2014/main" id="{13E1AC1B-64B3-F59D-84D0-5AB9C79273F3}"/>
              </a:ext>
            </a:extLst>
          </xdr:cNvPr>
          <xdr:cNvSpPr/>
        </xdr:nvSpPr>
        <xdr:spPr>
          <a:xfrm>
            <a:off x="1790241" y="780362"/>
            <a:ext cx="1652530" cy="585271"/>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accent1">
                    <a:lumMod val="75000"/>
                  </a:schemeClr>
                </a:solidFill>
              </a:rPr>
              <a:t>TOTAL</a:t>
            </a:r>
            <a:r>
              <a:rPr lang="en-GB" sz="1400" b="1" baseline="0">
                <a:solidFill>
                  <a:schemeClr val="accent1">
                    <a:lumMod val="75000"/>
                  </a:schemeClr>
                </a:solidFill>
              </a:rPr>
              <a:t> PRODUCT</a:t>
            </a:r>
            <a:endParaRPr lang="en-GB" sz="1400" b="1">
              <a:solidFill>
                <a:schemeClr val="accent1">
                  <a:lumMod val="75000"/>
                </a:schemeClr>
              </a:solidFill>
            </a:endParaRPr>
          </a:p>
        </xdr:txBody>
      </xdr:sp>
      <xdr:sp macro="" textlink="analyzed!A30">
        <xdr:nvSpPr>
          <xdr:cNvPr id="21" name="TextBox 20">
            <a:extLst>
              <a:ext uri="{FF2B5EF4-FFF2-40B4-BE49-F238E27FC236}">
                <a16:creationId xmlns:a16="http://schemas.microsoft.com/office/drawing/2014/main" id="{2F0D195B-44FE-58EB-FBA3-92DB5470DAE5}"/>
              </a:ext>
            </a:extLst>
          </xdr:cNvPr>
          <xdr:cNvSpPr txBox="1"/>
        </xdr:nvSpPr>
        <xdr:spPr>
          <a:xfrm>
            <a:off x="1916476" y="998404"/>
            <a:ext cx="1250874" cy="275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23ECE5-C25F-4D1F-B9CB-2EE247160171}" type="TxLink">
              <a:rPr lang="en-US" sz="1600" b="1" i="0" u="none" strike="noStrike">
                <a:solidFill>
                  <a:schemeClr val="accent1">
                    <a:lumMod val="75000"/>
                  </a:schemeClr>
                </a:solidFill>
                <a:latin typeface="Calibri"/>
                <a:cs typeface="Calibri"/>
              </a:rPr>
              <a:pPr algn="ctr"/>
              <a:t>115</a:t>
            </a:fld>
            <a:endParaRPr lang="en-GB" sz="1600" b="1">
              <a:solidFill>
                <a:schemeClr val="accent1">
                  <a:lumMod val="75000"/>
                </a:schemeClr>
              </a:solidFill>
            </a:endParaRPr>
          </a:p>
        </xdr:txBody>
      </xdr:sp>
    </xdr:grpSp>
    <xdr:clientData/>
  </xdr:twoCellAnchor>
  <xdr:twoCellAnchor>
    <xdr:from>
      <xdr:col>5</xdr:col>
      <xdr:colOff>367229</xdr:colOff>
      <xdr:row>4</xdr:row>
      <xdr:rowOff>91809</xdr:rowOff>
    </xdr:from>
    <xdr:to>
      <xdr:col>8</xdr:col>
      <xdr:colOff>195091</xdr:colOff>
      <xdr:row>7</xdr:row>
      <xdr:rowOff>91808</xdr:rowOff>
    </xdr:to>
    <xdr:grpSp>
      <xdr:nvGrpSpPr>
        <xdr:cNvPr id="32" name="Group 31">
          <a:extLst>
            <a:ext uri="{FF2B5EF4-FFF2-40B4-BE49-F238E27FC236}">
              <a16:creationId xmlns:a16="http://schemas.microsoft.com/office/drawing/2014/main" id="{A181BCCB-E52E-1244-D04D-3EA421A7B0DA}"/>
            </a:ext>
          </a:extLst>
        </xdr:cNvPr>
        <xdr:cNvGrpSpPr/>
      </xdr:nvGrpSpPr>
      <xdr:grpSpPr>
        <a:xfrm>
          <a:off x="3996254" y="853809"/>
          <a:ext cx="1656662" cy="571499"/>
          <a:chOff x="3683765" y="780362"/>
          <a:chExt cx="1652530" cy="585271"/>
        </a:xfrm>
      </xdr:grpSpPr>
      <xdr:sp macro="" textlink="">
        <xdr:nvSpPr>
          <xdr:cNvPr id="14" name="Rectangle: Rounded Corners 13">
            <a:extLst>
              <a:ext uri="{FF2B5EF4-FFF2-40B4-BE49-F238E27FC236}">
                <a16:creationId xmlns:a16="http://schemas.microsoft.com/office/drawing/2014/main" id="{A6FDCE6A-0E79-A2DA-E8CF-6240E639C3BC}"/>
              </a:ext>
            </a:extLst>
          </xdr:cNvPr>
          <xdr:cNvSpPr/>
        </xdr:nvSpPr>
        <xdr:spPr>
          <a:xfrm>
            <a:off x="3683765" y="780362"/>
            <a:ext cx="1652530" cy="585271"/>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baseline="0">
                <a:solidFill>
                  <a:schemeClr val="accent1">
                    <a:lumMod val="75000"/>
                  </a:schemeClr>
                </a:solidFill>
                <a:latin typeface="+mn-lt"/>
                <a:ea typeface="+mn-ea"/>
                <a:cs typeface="+mn-cs"/>
              </a:rPr>
              <a:t>    </a:t>
            </a:r>
            <a:r>
              <a:rPr lang="en-GB" sz="1400" b="1" baseline="0">
                <a:solidFill>
                  <a:schemeClr val="accent1">
                    <a:lumMod val="75000"/>
                  </a:schemeClr>
                </a:solidFill>
                <a:latin typeface="+mn-lt"/>
                <a:ea typeface="+mn-ea"/>
                <a:cs typeface="+mn-cs"/>
              </a:rPr>
              <a:t>AVERAGE</a:t>
            </a:r>
            <a:r>
              <a:rPr lang="en-GB" sz="1200">
                <a:solidFill>
                  <a:schemeClr val="accent1">
                    <a:lumMod val="75000"/>
                  </a:schemeClr>
                </a:solidFill>
              </a:rPr>
              <a:t> </a:t>
            </a:r>
            <a:r>
              <a:rPr lang="en-GB" sz="1400" b="1" baseline="0">
                <a:solidFill>
                  <a:schemeClr val="accent1">
                    <a:lumMod val="75000"/>
                  </a:schemeClr>
                </a:solidFill>
                <a:latin typeface="+mn-lt"/>
                <a:ea typeface="+mn-ea"/>
                <a:cs typeface="+mn-cs"/>
              </a:rPr>
              <a:t>PRICE</a:t>
            </a:r>
            <a:endParaRPr lang="en-GB" sz="1200" b="1" baseline="0">
              <a:solidFill>
                <a:schemeClr val="accent1">
                  <a:lumMod val="75000"/>
                </a:schemeClr>
              </a:solidFill>
              <a:latin typeface="+mn-lt"/>
              <a:ea typeface="+mn-ea"/>
              <a:cs typeface="+mn-cs"/>
            </a:endParaRPr>
          </a:p>
        </xdr:txBody>
      </xdr:sp>
      <xdr:sp macro="" textlink="analyzed!B30">
        <xdr:nvSpPr>
          <xdr:cNvPr id="22" name="TextBox 21">
            <a:extLst>
              <a:ext uri="{FF2B5EF4-FFF2-40B4-BE49-F238E27FC236}">
                <a16:creationId xmlns:a16="http://schemas.microsoft.com/office/drawing/2014/main" id="{DEB29EC7-8A9E-9824-5817-2B28F152F44B}"/>
              </a:ext>
            </a:extLst>
          </xdr:cNvPr>
          <xdr:cNvSpPr txBox="1"/>
        </xdr:nvSpPr>
        <xdr:spPr>
          <a:xfrm>
            <a:off x="3821475" y="998403"/>
            <a:ext cx="1250874" cy="275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82D8AB7-C991-4D5F-8BF2-F9E11E0E6A6A}" type="TxLink">
              <a:rPr lang="en-US" sz="1600" b="1" i="0" u="none" strike="noStrike">
                <a:solidFill>
                  <a:schemeClr val="accent1">
                    <a:lumMod val="75000"/>
                  </a:schemeClr>
                </a:solidFill>
                <a:latin typeface="Calibri"/>
                <a:ea typeface="+mn-ea"/>
                <a:cs typeface="Calibri"/>
              </a:rPr>
              <a:pPr marL="0" indent="0" algn="ctr"/>
              <a:t>1175.921739</a:t>
            </a:fld>
            <a:endParaRPr lang="en-GB" sz="1600" b="1" i="0" u="none" strike="noStrike">
              <a:solidFill>
                <a:schemeClr val="accent1">
                  <a:lumMod val="75000"/>
                </a:schemeClr>
              </a:solidFill>
              <a:latin typeface="Calibri"/>
              <a:ea typeface="+mn-ea"/>
              <a:cs typeface="Calibri"/>
            </a:endParaRPr>
          </a:p>
        </xdr:txBody>
      </xdr:sp>
    </xdr:grpSp>
    <xdr:clientData/>
  </xdr:twoCellAnchor>
  <xdr:twoCellAnchor>
    <xdr:from>
      <xdr:col>9</xdr:col>
      <xdr:colOff>11477</xdr:colOff>
      <xdr:row>4</xdr:row>
      <xdr:rowOff>91809</xdr:rowOff>
    </xdr:from>
    <xdr:to>
      <xdr:col>11</xdr:col>
      <xdr:colOff>447561</xdr:colOff>
      <xdr:row>7</xdr:row>
      <xdr:rowOff>91808</xdr:rowOff>
    </xdr:to>
    <xdr:grpSp>
      <xdr:nvGrpSpPr>
        <xdr:cNvPr id="31" name="Group 30">
          <a:extLst>
            <a:ext uri="{FF2B5EF4-FFF2-40B4-BE49-F238E27FC236}">
              <a16:creationId xmlns:a16="http://schemas.microsoft.com/office/drawing/2014/main" id="{1959EE6D-3850-3578-DA59-B84041227A4B}"/>
            </a:ext>
          </a:extLst>
        </xdr:cNvPr>
        <xdr:cNvGrpSpPr/>
      </xdr:nvGrpSpPr>
      <xdr:grpSpPr>
        <a:xfrm>
          <a:off x="6078902" y="853809"/>
          <a:ext cx="1655284" cy="571499"/>
          <a:chOff x="5841236" y="780362"/>
          <a:chExt cx="1652530" cy="585271"/>
        </a:xfrm>
      </xdr:grpSpPr>
      <xdr:sp macro="" textlink="">
        <xdr:nvSpPr>
          <xdr:cNvPr id="16" name="Rectangle: Rounded Corners 15">
            <a:extLst>
              <a:ext uri="{FF2B5EF4-FFF2-40B4-BE49-F238E27FC236}">
                <a16:creationId xmlns:a16="http://schemas.microsoft.com/office/drawing/2014/main" id="{94B7E0E2-3ABC-4F4B-CB18-C388B49A1082}"/>
              </a:ext>
            </a:extLst>
          </xdr:cNvPr>
          <xdr:cNvSpPr/>
        </xdr:nvSpPr>
        <xdr:spPr>
          <a:xfrm>
            <a:off x="5841236" y="780362"/>
            <a:ext cx="1652530" cy="585271"/>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baseline="0">
                <a:solidFill>
                  <a:schemeClr val="accent1">
                    <a:lumMod val="75000"/>
                  </a:schemeClr>
                </a:solidFill>
                <a:latin typeface="+mn-lt"/>
                <a:ea typeface="+mn-ea"/>
                <a:cs typeface="+mn-cs"/>
              </a:rPr>
              <a:t>AVERAGE DISCOUNT</a:t>
            </a:r>
          </a:p>
        </xdr:txBody>
      </xdr:sp>
      <xdr:sp macro="" textlink="analyzed!C30">
        <xdr:nvSpPr>
          <xdr:cNvPr id="25" name="TextBox 24">
            <a:extLst>
              <a:ext uri="{FF2B5EF4-FFF2-40B4-BE49-F238E27FC236}">
                <a16:creationId xmlns:a16="http://schemas.microsoft.com/office/drawing/2014/main" id="{B6A539F9-CBB2-C87C-EA8F-378544A03305}"/>
              </a:ext>
            </a:extLst>
          </xdr:cNvPr>
          <xdr:cNvSpPr txBox="1"/>
        </xdr:nvSpPr>
        <xdr:spPr>
          <a:xfrm>
            <a:off x="5955994" y="1032831"/>
            <a:ext cx="1250874" cy="275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4012C81-8139-4D8F-9EF9-35696E113FD2}" type="TxLink">
              <a:rPr lang="en-US" sz="1600" b="1" i="0" u="none" strike="noStrike">
                <a:solidFill>
                  <a:schemeClr val="accent1">
                    <a:lumMod val="75000"/>
                  </a:schemeClr>
                </a:solidFill>
                <a:latin typeface="Calibri"/>
                <a:ea typeface="+mn-ea"/>
                <a:cs typeface="Calibri"/>
              </a:rPr>
              <a:pPr marL="0" indent="0" algn="ctr"/>
              <a:t>37%</a:t>
            </a:fld>
            <a:endParaRPr lang="en-GB" sz="1600" b="1" i="0" u="none" strike="noStrike">
              <a:solidFill>
                <a:schemeClr val="accent1">
                  <a:lumMod val="75000"/>
                </a:schemeClr>
              </a:solidFill>
              <a:latin typeface="Calibri"/>
              <a:ea typeface="+mn-ea"/>
              <a:cs typeface="Calibri"/>
            </a:endParaRPr>
          </a:p>
        </xdr:txBody>
      </xdr:sp>
    </xdr:grpSp>
    <xdr:clientData/>
  </xdr:twoCellAnchor>
  <xdr:twoCellAnchor>
    <xdr:from>
      <xdr:col>12</xdr:col>
      <xdr:colOff>252471</xdr:colOff>
      <xdr:row>4</xdr:row>
      <xdr:rowOff>68857</xdr:rowOff>
    </xdr:from>
    <xdr:to>
      <xdr:col>15</xdr:col>
      <xdr:colOff>80333</xdr:colOff>
      <xdr:row>7</xdr:row>
      <xdr:rowOff>68856</xdr:rowOff>
    </xdr:to>
    <xdr:grpSp>
      <xdr:nvGrpSpPr>
        <xdr:cNvPr id="30" name="Group 29">
          <a:extLst>
            <a:ext uri="{FF2B5EF4-FFF2-40B4-BE49-F238E27FC236}">
              <a16:creationId xmlns:a16="http://schemas.microsoft.com/office/drawing/2014/main" id="{AE9F5871-1EB5-75DA-6C11-FC751B1FC5AE}"/>
            </a:ext>
          </a:extLst>
        </xdr:cNvPr>
        <xdr:cNvGrpSpPr/>
      </xdr:nvGrpSpPr>
      <xdr:grpSpPr>
        <a:xfrm>
          <a:off x="8148696" y="830857"/>
          <a:ext cx="1656662" cy="571499"/>
          <a:chOff x="8021658" y="780362"/>
          <a:chExt cx="1652530" cy="585271"/>
        </a:xfrm>
      </xdr:grpSpPr>
      <xdr:sp macro="" textlink="">
        <xdr:nvSpPr>
          <xdr:cNvPr id="15" name="Rectangle: Rounded Corners 14">
            <a:extLst>
              <a:ext uri="{FF2B5EF4-FFF2-40B4-BE49-F238E27FC236}">
                <a16:creationId xmlns:a16="http://schemas.microsoft.com/office/drawing/2014/main" id="{28018B22-1C5D-4E96-B765-93465F947F2A}"/>
              </a:ext>
            </a:extLst>
          </xdr:cNvPr>
          <xdr:cNvSpPr/>
        </xdr:nvSpPr>
        <xdr:spPr>
          <a:xfrm>
            <a:off x="8021658" y="780362"/>
            <a:ext cx="1652530" cy="585271"/>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1" baseline="0">
                <a:solidFill>
                  <a:schemeClr val="accent1">
                    <a:lumMod val="75000"/>
                  </a:schemeClr>
                </a:solidFill>
                <a:latin typeface="+mn-lt"/>
                <a:ea typeface="+mn-ea"/>
                <a:cs typeface="+mn-cs"/>
              </a:rPr>
              <a:t>AVERAGE REVIEW</a:t>
            </a:r>
          </a:p>
        </xdr:txBody>
      </xdr:sp>
      <xdr:sp macro="" textlink="analyzed!D30">
        <xdr:nvSpPr>
          <xdr:cNvPr id="26" name="TextBox 25">
            <a:extLst>
              <a:ext uri="{FF2B5EF4-FFF2-40B4-BE49-F238E27FC236}">
                <a16:creationId xmlns:a16="http://schemas.microsoft.com/office/drawing/2014/main" id="{D0CB40BD-E081-582A-6333-0BC895F2B248}"/>
              </a:ext>
            </a:extLst>
          </xdr:cNvPr>
          <xdr:cNvSpPr txBox="1"/>
        </xdr:nvSpPr>
        <xdr:spPr>
          <a:xfrm>
            <a:off x="8124940" y="1032831"/>
            <a:ext cx="1250874" cy="275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29F09F1-8845-412C-B735-3C82F2FDBDA6}" type="TxLink">
              <a:rPr lang="en-US" sz="1600" b="1" i="0" u="none" strike="noStrike">
                <a:solidFill>
                  <a:schemeClr val="accent1">
                    <a:lumMod val="75000"/>
                  </a:schemeClr>
                </a:solidFill>
                <a:latin typeface="Calibri"/>
                <a:ea typeface="+mn-ea"/>
                <a:cs typeface="Calibri"/>
              </a:rPr>
              <a:pPr marL="0" indent="0" algn="ctr"/>
              <a:t>6.286956522</a:t>
            </a:fld>
            <a:endParaRPr lang="en-GB" sz="1600" b="1" i="0" u="none" strike="noStrike">
              <a:solidFill>
                <a:schemeClr val="accent1">
                  <a:lumMod val="75000"/>
                </a:schemeClr>
              </a:solidFill>
              <a:latin typeface="Calibri"/>
              <a:ea typeface="+mn-ea"/>
              <a:cs typeface="Calibri"/>
            </a:endParaRPr>
          </a:p>
        </xdr:txBody>
      </xdr:sp>
    </xdr:grpSp>
    <xdr:clientData/>
  </xdr:twoCellAnchor>
  <xdr:twoCellAnchor>
    <xdr:from>
      <xdr:col>15</xdr:col>
      <xdr:colOff>367229</xdr:colOff>
      <xdr:row>4</xdr:row>
      <xdr:rowOff>57381</xdr:rowOff>
    </xdr:from>
    <xdr:to>
      <xdr:col>18</xdr:col>
      <xdr:colOff>195090</xdr:colOff>
      <xdr:row>7</xdr:row>
      <xdr:rowOff>57380</xdr:rowOff>
    </xdr:to>
    <xdr:grpSp>
      <xdr:nvGrpSpPr>
        <xdr:cNvPr id="29" name="Group 28">
          <a:extLst>
            <a:ext uri="{FF2B5EF4-FFF2-40B4-BE49-F238E27FC236}">
              <a16:creationId xmlns:a16="http://schemas.microsoft.com/office/drawing/2014/main" id="{FBED2A10-1D0B-A169-23A0-90EA50FFFCAF}"/>
            </a:ext>
          </a:extLst>
        </xdr:cNvPr>
        <xdr:cNvGrpSpPr/>
      </xdr:nvGrpSpPr>
      <xdr:grpSpPr>
        <a:xfrm>
          <a:off x="10092254" y="819381"/>
          <a:ext cx="1656661" cy="571499"/>
          <a:chOff x="10052892" y="780362"/>
          <a:chExt cx="1652530" cy="585271"/>
        </a:xfrm>
      </xdr:grpSpPr>
      <xdr:sp macro="" textlink="">
        <xdr:nvSpPr>
          <xdr:cNvPr id="17" name="Rectangle: Rounded Corners 16">
            <a:extLst>
              <a:ext uri="{FF2B5EF4-FFF2-40B4-BE49-F238E27FC236}">
                <a16:creationId xmlns:a16="http://schemas.microsoft.com/office/drawing/2014/main" id="{B0107BDB-6069-84F0-F5CB-335EC857B606}"/>
              </a:ext>
            </a:extLst>
          </xdr:cNvPr>
          <xdr:cNvSpPr/>
        </xdr:nvSpPr>
        <xdr:spPr>
          <a:xfrm>
            <a:off x="10052892" y="780362"/>
            <a:ext cx="1652530" cy="585271"/>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1" baseline="0">
                <a:solidFill>
                  <a:schemeClr val="accent1">
                    <a:lumMod val="75000"/>
                  </a:schemeClr>
                </a:solidFill>
                <a:latin typeface="+mn-lt"/>
                <a:ea typeface="+mn-ea"/>
                <a:cs typeface="+mn-cs"/>
              </a:rPr>
              <a:t>AVERAGE RATING</a:t>
            </a:r>
          </a:p>
        </xdr:txBody>
      </xdr:sp>
      <xdr:sp macro="" textlink="analyzed!A33">
        <xdr:nvSpPr>
          <xdr:cNvPr id="27" name="TextBox 26">
            <a:extLst>
              <a:ext uri="{FF2B5EF4-FFF2-40B4-BE49-F238E27FC236}">
                <a16:creationId xmlns:a16="http://schemas.microsoft.com/office/drawing/2014/main" id="{9D389FB3-8988-EDE3-1937-7E375BEA03C3}"/>
              </a:ext>
            </a:extLst>
          </xdr:cNvPr>
          <xdr:cNvSpPr txBox="1"/>
        </xdr:nvSpPr>
        <xdr:spPr>
          <a:xfrm>
            <a:off x="10179126" y="1032831"/>
            <a:ext cx="1250874" cy="275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0CD6ED8-857B-416F-81C0-788B05E428CB}" type="TxLink">
              <a:rPr lang="en-US" sz="1600" b="1" i="0" u="none" strike="noStrike">
                <a:solidFill>
                  <a:schemeClr val="accent1">
                    <a:lumMod val="75000"/>
                  </a:schemeClr>
                </a:solidFill>
                <a:latin typeface="Calibri"/>
                <a:ea typeface="+mn-ea"/>
                <a:cs typeface="Calibri"/>
              </a:rPr>
              <a:pPr marL="0" indent="0" algn="ctr"/>
              <a:t>1.927826087</a:t>
            </a:fld>
            <a:endParaRPr lang="en-GB" sz="1600" b="1" i="0" u="none" strike="noStrike">
              <a:solidFill>
                <a:schemeClr val="accent1">
                  <a:lumMod val="75000"/>
                </a:schemeClr>
              </a:solidFill>
              <a:latin typeface="Calibri"/>
              <a:ea typeface="+mn-ea"/>
              <a:cs typeface="Calibri"/>
            </a:endParaRPr>
          </a:p>
        </xdr:txBody>
      </xdr:sp>
    </xdr:grpSp>
    <xdr:clientData/>
  </xdr:twoCellAnchor>
  <xdr:twoCellAnchor>
    <xdr:from>
      <xdr:col>0</xdr:col>
      <xdr:colOff>0</xdr:colOff>
      <xdr:row>0</xdr:row>
      <xdr:rowOff>43953</xdr:rowOff>
    </xdr:from>
    <xdr:to>
      <xdr:col>18</xdr:col>
      <xdr:colOff>126235</xdr:colOff>
      <xdr:row>3</xdr:row>
      <xdr:rowOff>181664</xdr:rowOff>
    </xdr:to>
    <xdr:sp macro="" textlink="">
      <xdr:nvSpPr>
        <xdr:cNvPr id="28" name="Rectangle: Rounded Corners 27">
          <a:extLst>
            <a:ext uri="{FF2B5EF4-FFF2-40B4-BE49-F238E27FC236}">
              <a16:creationId xmlns:a16="http://schemas.microsoft.com/office/drawing/2014/main" id="{60FC736C-431C-1B36-E9AC-CD493ABC9D54}"/>
            </a:ext>
          </a:extLst>
        </xdr:cNvPr>
        <xdr:cNvSpPr/>
      </xdr:nvSpPr>
      <xdr:spPr>
        <a:xfrm>
          <a:off x="0" y="43953"/>
          <a:ext cx="11680060" cy="709211"/>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a:solidFill>
                <a:schemeClr val="accent1">
                  <a:lumMod val="75000"/>
                </a:schemeClr>
              </a:solidFill>
            </a:rPr>
            <a:t>JUMIA PRODUCT PERFORMANCE DASHBOARD</a:t>
          </a:r>
        </a:p>
        <a:p>
          <a:pPr algn="l"/>
          <a:r>
            <a:rPr lang="en-GB" sz="1400">
              <a:solidFill>
                <a:schemeClr val="accent5">
                  <a:lumMod val="60000"/>
                  <a:lumOff val="40000"/>
                </a:schemeClr>
              </a:solidFill>
            </a:rPr>
            <a:t>PRICING,DISCOUNT,RATING</a:t>
          </a:r>
          <a:r>
            <a:rPr lang="en-GB" sz="1400" baseline="0">
              <a:solidFill>
                <a:schemeClr val="accent5">
                  <a:lumMod val="60000"/>
                  <a:lumOff val="40000"/>
                </a:schemeClr>
              </a:solidFill>
            </a:rPr>
            <a:t> &amp; CUSTOMER ENGAGEMENT ANALYSIS</a:t>
          </a:r>
          <a:endParaRPr lang="en-GB" sz="1400">
            <a:solidFill>
              <a:schemeClr val="accent5">
                <a:lumMod val="60000"/>
                <a:lumOff val="4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01.832816666669" createdVersion="8" refreshedVersion="8" minRefreshableVersion="3" recordCount="115" xr:uid="{245637FE-36EA-4160-A56B-B78F9E15D155}">
  <cacheSource type="worksheet">
    <worksheetSource name="Table1"/>
  </cacheSource>
  <cacheFields count="11">
    <cacheField name="Product" numFmtId="0">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ount amount" numFmtId="3">
      <sharedItems containsSemiMixedTypes="0" containsString="0" containsNumber="1" containsInteger="1" minValue="24"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0">
      <sharedItems containsSemiMixedTypes="0" containsString="0" containsNumber="1" containsInteger="1" minValue="0" maxValue="69" count="24">
        <n v="2"/>
        <n v="14"/>
        <n v="24"/>
        <n v="7"/>
        <n v="5"/>
        <n v="15"/>
        <n v="55"/>
        <n v="12"/>
        <n v="39"/>
        <n v="6"/>
        <n v="9"/>
        <n v="3"/>
        <n v="44"/>
        <n v="13"/>
        <n v="0"/>
        <n v="49"/>
        <n v="20"/>
        <n v="32"/>
        <n v="1"/>
        <n v="36"/>
        <n v="10"/>
        <n v="69"/>
        <n v="16"/>
        <n v="17"/>
      </sharedItems>
    </cacheField>
    <cacheField name="Rating" numFmtId="0">
      <sharedItems containsSemiMixedTypes="0" containsString="0" containsNumber="1" minValue="0" maxValue="5" count="23">
        <n v="4.5"/>
        <n v="4.0999999999999996"/>
        <n v="4.5999999999999996"/>
        <n v="4.7"/>
        <n v="4.8"/>
        <n v="4"/>
        <n v="3.8"/>
        <n v="4.2"/>
        <n v="5"/>
        <n v="3.3"/>
        <n v="0"/>
        <n v="4.4000000000000004"/>
        <n v="4.3"/>
        <n v="2.5"/>
        <n v="3"/>
        <n v="2.1"/>
        <n v="2.8"/>
        <n v="2.7"/>
        <n v="2.9"/>
        <n v="2.2000000000000002"/>
        <n v="2.2999999999999998"/>
        <n v="2.6"/>
        <n v="2"/>
      </sharedItems>
    </cacheField>
    <cacheField name="Rating category" numFmtId="0">
      <sharedItems count="4">
        <s v="average"/>
        <s v="excellent"/>
        <s v="no rating"/>
        <s v="poor"/>
      </sharedItems>
    </cacheField>
    <cacheField name="Review category" numFmtId="0">
      <sharedItems count="3">
        <s v="medium"/>
        <s v="high"/>
        <s v="low"/>
      </sharedItems>
    </cacheField>
    <cacheField name="Price category" numFmtId="0">
      <sharedItems count="3">
        <s v="Budget"/>
        <s v="premium"/>
        <s v="mid_range"/>
      </sharedItems>
    </cacheField>
    <cacheField name="Discoungt category" numFmtId="0">
      <sharedItems count="3">
        <s v="low discount"/>
        <s v="medium discount"/>
        <s v="high discount"/>
      </sharedItems>
    </cacheField>
  </cacheFields>
  <extLst>
    <ext xmlns:x14="http://schemas.microsoft.com/office/spreadsheetml/2009/9/main" uri="{725AE2AE-9491-48be-B2B4-4EB974FC3084}">
      <x14:pivotCacheDefinition pivotCacheId="1263623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115  Piece Set Of Multifunctional Precision Screwdrivers"/>
    <n v="950"/>
    <n v="1525"/>
    <n v="575"/>
    <x v="0"/>
    <x v="0"/>
    <x v="0"/>
    <x v="0"/>
    <x v="0"/>
    <x v="0"/>
    <x v="0"/>
  </r>
  <r>
    <s v="Metal Decorative Hooks Key Hangers Entryway Wall Hooks Towel Hooks - Home"/>
    <n v="527"/>
    <n v="999"/>
    <n v="472"/>
    <x v="1"/>
    <x v="1"/>
    <x v="1"/>
    <x v="0"/>
    <x v="1"/>
    <x v="0"/>
    <x v="0"/>
  </r>
  <r>
    <s v="Portable Mini Cordless Car Vacuum Cleaner - Blue"/>
    <n v="2199"/>
    <n v="2923"/>
    <n v="724"/>
    <x v="2"/>
    <x v="2"/>
    <x v="2"/>
    <x v="1"/>
    <x v="0"/>
    <x v="1"/>
    <x v="0"/>
  </r>
  <r>
    <s v="Weighing Scale Digital Bathroom Body Fat Scale USB-Black"/>
    <n v="1580"/>
    <n v="2499"/>
    <n v="919"/>
    <x v="3"/>
    <x v="3"/>
    <x v="3"/>
    <x v="1"/>
    <x v="0"/>
    <x v="2"/>
    <x v="0"/>
  </r>
  <r>
    <s v="Portable Home Small Air Humidifier 3-Speed Fan - Green"/>
    <n v="1740"/>
    <n v="2356"/>
    <n v="616"/>
    <x v="4"/>
    <x v="4"/>
    <x v="4"/>
    <x v="1"/>
    <x v="0"/>
    <x v="2"/>
    <x v="0"/>
  </r>
  <r>
    <s v="220V 60W Electric Soldering Iron Kits With Tools, Tips, And Multimeter"/>
    <n v="2999"/>
    <n v="3290"/>
    <n v="291"/>
    <x v="5"/>
    <x v="5"/>
    <x v="5"/>
    <x v="0"/>
    <x v="2"/>
    <x v="1"/>
    <x v="0"/>
  </r>
  <r>
    <s v="137 Pieces Cake Decorating Tool Set Baking Supplies"/>
    <n v="2319"/>
    <n v="3032"/>
    <n v="713"/>
    <x v="6"/>
    <x v="6"/>
    <x v="2"/>
    <x v="1"/>
    <x v="0"/>
    <x v="1"/>
    <x v="0"/>
  </r>
  <r>
    <s v="Desk Foldable Fan Adjustable Fan Strong Wind 3 Gear Usb"/>
    <n v="988"/>
    <n v="1580"/>
    <n v="592"/>
    <x v="3"/>
    <x v="0"/>
    <x v="5"/>
    <x v="0"/>
    <x v="0"/>
    <x v="0"/>
    <x v="0"/>
  </r>
  <r>
    <s v="LASA FOLDING TABLE SERVING STAND"/>
    <n v="1274"/>
    <n v="2800"/>
    <n v="1526"/>
    <x v="7"/>
    <x v="4"/>
    <x v="4"/>
    <x v="1"/>
    <x v="1"/>
    <x v="2"/>
    <x v="1"/>
  </r>
  <r>
    <s v="13 In 1 Home Repair Tools Box Kit Set"/>
    <n v="1600"/>
    <n v="2929"/>
    <n v="1329"/>
    <x v="8"/>
    <x v="4"/>
    <x v="6"/>
    <x v="0"/>
    <x v="1"/>
    <x v="2"/>
    <x v="1"/>
  </r>
  <r>
    <s v="Genebre 115 In 1 Screwdriver Repairing Tool Set For IPhone Cellphone Hand Tool"/>
    <n v="799"/>
    <n v="999"/>
    <n v="200"/>
    <x v="9"/>
    <x v="7"/>
    <x v="1"/>
    <x v="0"/>
    <x v="0"/>
    <x v="0"/>
    <x v="0"/>
  </r>
  <r>
    <s v="100 Pcs Crochet Hook Tool Set Knitting Hook Set With Box"/>
    <n v="990"/>
    <n v="1500"/>
    <n v="510"/>
    <x v="10"/>
    <x v="8"/>
    <x v="3"/>
    <x v="1"/>
    <x v="0"/>
    <x v="0"/>
    <x v="0"/>
  </r>
  <r>
    <s v="40cm Gold DIY Acrylic Wall Sticker Clock"/>
    <n v="552"/>
    <n v="1035"/>
    <n v="483"/>
    <x v="1"/>
    <x v="7"/>
    <x v="4"/>
    <x v="1"/>
    <x v="1"/>
    <x v="0"/>
    <x v="0"/>
  </r>
  <r>
    <s v="LASA Digital Thermometer And Hydrometer"/>
    <n v="501"/>
    <n v="860"/>
    <n v="359"/>
    <x v="11"/>
    <x v="9"/>
    <x v="0"/>
    <x v="0"/>
    <x v="1"/>
    <x v="0"/>
    <x v="0"/>
  </r>
  <r>
    <s v="Multifunction Laser Level With Adjustment Tripod"/>
    <n v="1680"/>
    <n v="2499"/>
    <n v="819"/>
    <x v="12"/>
    <x v="10"/>
    <x v="7"/>
    <x v="0"/>
    <x v="0"/>
    <x v="2"/>
    <x v="0"/>
  </r>
  <r>
    <s v="Anti-Skid Absorbent Insulation Coaster  For Home Office"/>
    <n v="332"/>
    <n v="684"/>
    <n v="352"/>
    <x v="13"/>
    <x v="0"/>
    <x v="8"/>
    <x v="1"/>
    <x v="1"/>
    <x v="0"/>
    <x v="0"/>
  </r>
  <r>
    <s v="Peacock  Throw Pillow Cushion Case For Home Car"/>
    <n v="195"/>
    <n v="360"/>
    <n v="165"/>
    <x v="14"/>
    <x v="0"/>
    <x v="8"/>
    <x v="1"/>
    <x v="1"/>
    <x v="0"/>
    <x v="0"/>
  </r>
  <r>
    <s v="LASA Aluminum Folding Truck Hand Cart - 68kg Max"/>
    <n v="2025"/>
    <n v="3971"/>
    <n v="1946"/>
    <x v="15"/>
    <x v="11"/>
    <x v="8"/>
    <x v="1"/>
    <x v="1"/>
    <x v="1"/>
    <x v="1"/>
  </r>
  <r>
    <s v="LED Wall Digital Alarm Clock Study Home 12 / 24H Clock Calendar"/>
    <n v="2999"/>
    <n v="3699"/>
    <n v="700"/>
    <x v="16"/>
    <x v="4"/>
    <x v="2"/>
    <x v="1"/>
    <x v="2"/>
    <x v="1"/>
    <x v="0"/>
  </r>
  <r>
    <s v="3D Waterproof EVA Plastic Shower Curtain 1.8*2Mtrs"/>
    <n v="998"/>
    <n v="1966"/>
    <n v="968"/>
    <x v="15"/>
    <x v="12"/>
    <x v="2"/>
    <x v="1"/>
    <x v="1"/>
    <x v="0"/>
    <x v="0"/>
  </r>
  <r>
    <s v="3PCS Single Head Knitting Crochet Sweater Needle Set"/>
    <n v="38"/>
    <n v="80"/>
    <n v="42"/>
    <x v="17"/>
    <x v="13"/>
    <x v="9"/>
    <x v="0"/>
    <x v="1"/>
    <x v="0"/>
    <x v="0"/>
  </r>
  <r>
    <s v="4pcs Bathroom/Kitchen Towel Rack,Roll Paper Holder,Towel Bars,Hook"/>
    <n v="1860"/>
    <n v="3220"/>
    <n v="1360"/>
    <x v="11"/>
    <x v="14"/>
    <x v="10"/>
    <x v="2"/>
    <x v="1"/>
    <x v="2"/>
    <x v="1"/>
  </r>
  <r>
    <s v="LED Romantic Spaceship Starry Sky Projector,Children's Bedroom Night Light-Blue"/>
    <n v="880"/>
    <n v="1350"/>
    <n v="470"/>
    <x v="18"/>
    <x v="9"/>
    <x v="5"/>
    <x v="0"/>
    <x v="0"/>
    <x v="0"/>
    <x v="0"/>
  </r>
  <r>
    <s v="Foldable Overbed Table/Desk"/>
    <n v="1650"/>
    <n v="2150"/>
    <n v="500"/>
    <x v="19"/>
    <x v="1"/>
    <x v="11"/>
    <x v="0"/>
    <x v="0"/>
    <x v="2"/>
    <x v="0"/>
  </r>
  <r>
    <s v="LASA 3 Tier Bamboo Shoe Bench Storage Shelf"/>
    <n v="2048"/>
    <n v="4500"/>
    <n v="2452"/>
    <x v="20"/>
    <x v="3"/>
    <x v="12"/>
    <x v="0"/>
    <x v="1"/>
    <x v="1"/>
    <x v="2"/>
  </r>
  <r>
    <s v="Electronic Digital Display Vernier Caliper"/>
    <n v="420"/>
    <n v="647"/>
    <n v="227"/>
    <x v="18"/>
    <x v="15"/>
    <x v="2"/>
    <x v="1"/>
    <x v="0"/>
    <x v="0"/>
    <x v="0"/>
  </r>
  <r>
    <s v="Portable Wardrobe Nonwoven With 3 Hanging Rods And 6 Storage Shelves"/>
    <n v="2880"/>
    <n v="3520"/>
    <n v="640"/>
    <x v="21"/>
    <x v="7"/>
    <x v="6"/>
    <x v="0"/>
    <x v="2"/>
    <x v="1"/>
    <x v="0"/>
  </r>
  <r>
    <s v="12 Litre Black Insulated Lunch Box"/>
    <n v="1350"/>
    <n v="1990"/>
    <n v="640"/>
    <x v="22"/>
    <x v="13"/>
    <x v="6"/>
    <x v="0"/>
    <x v="0"/>
    <x v="2"/>
    <x v="0"/>
  </r>
  <r>
    <s v="52 Pieces Cake Decorating Tool Set Gift Kit Baking Supplies"/>
    <n v="1758"/>
    <n v="2499"/>
    <n v="741"/>
    <x v="23"/>
    <x v="16"/>
    <x v="1"/>
    <x v="0"/>
    <x v="0"/>
    <x v="2"/>
    <x v="0"/>
  </r>
  <r>
    <s v="MultiFunctional Storage Rack Multi-layer Bookshelf"/>
    <n v="2200"/>
    <n v="4080"/>
    <n v="1880"/>
    <x v="14"/>
    <x v="14"/>
    <x v="10"/>
    <x v="2"/>
    <x v="1"/>
    <x v="1"/>
    <x v="1"/>
  </r>
  <r>
    <s v="Exfoliate And Exfoliate Face Towel - Black"/>
    <n v="185"/>
    <n v="382"/>
    <n v="197"/>
    <x v="24"/>
    <x v="10"/>
    <x v="12"/>
    <x v="0"/>
    <x v="1"/>
    <x v="0"/>
    <x v="0"/>
  </r>
  <r>
    <s v="12 Litre Insulated Lunch Box Grey"/>
    <n v="980"/>
    <n v="1490"/>
    <n v="510"/>
    <x v="10"/>
    <x v="7"/>
    <x v="3"/>
    <x v="1"/>
    <x v="0"/>
    <x v="0"/>
    <x v="0"/>
  </r>
  <r>
    <s v="LED Eye Protection  Desk Lamp , Study, Reading, USB Fan - Double Pen Holder"/>
    <n v="1820"/>
    <n v="3490"/>
    <n v="1670"/>
    <x v="25"/>
    <x v="10"/>
    <x v="12"/>
    <x v="0"/>
    <x v="1"/>
    <x v="2"/>
    <x v="1"/>
  </r>
  <r>
    <s v="53Pcs/Set Yarn Knitting Crochet Hooks With Bag - Fortune Cat"/>
    <n v="1940"/>
    <n v="2650"/>
    <n v="710"/>
    <x v="26"/>
    <x v="16"/>
    <x v="3"/>
    <x v="1"/>
    <x v="0"/>
    <x v="2"/>
    <x v="0"/>
  </r>
  <r>
    <s v="53 Pieces/Set Yarn Knitting Crochet Hooks With Bag - Pansies"/>
    <n v="1980"/>
    <n v="2699"/>
    <n v="719"/>
    <x v="26"/>
    <x v="17"/>
    <x v="0"/>
    <x v="0"/>
    <x v="0"/>
    <x v="2"/>
    <x v="0"/>
  </r>
  <r>
    <s v="DIY File Folder, Office Drawer File Holder, Pen Holder, Desktop Storage Rack"/>
    <n v="1620"/>
    <n v="2690"/>
    <n v="1070"/>
    <x v="27"/>
    <x v="18"/>
    <x v="8"/>
    <x v="1"/>
    <x v="0"/>
    <x v="2"/>
    <x v="1"/>
  </r>
  <r>
    <s v="Classic Black Cat Cotton Hemp Pillow Case For Home Car"/>
    <n v="171"/>
    <n v="360"/>
    <n v="189"/>
    <x v="17"/>
    <x v="0"/>
    <x v="8"/>
    <x v="1"/>
    <x v="1"/>
    <x v="0"/>
    <x v="0"/>
  </r>
  <r>
    <s v="Punch-free Great Load Bearing Bathroom Storage Rack Wall Shelf-White"/>
    <n v="389"/>
    <n v="656"/>
    <n v="267"/>
    <x v="28"/>
    <x v="19"/>
    <x v="12"/>
    <x v="0"/>
    <x v="1"/>
    <x v="0"/>
    <x v="0"/>
  </r>
  <r>
    <s v="1/2/3 Seater Elastic Sofa Cover,Living Room/Home Decor Chair Cover-Grey"/>
    <n v="1980"/>
    <n v="3200"/>
    <n v="1220"/>
    <x v="0"/>
    <x v="0"/>
    <x v="0"/>
    <x v="0"/>
    <x v="0"/>
    <x v="2"/>
    <x v="1"/>
  </r>
  <r>
    <s v="LASA Stainless Steel Double Wall Mount Soap Dispenser - 500ml"/>
    <n v="2750"/>
    <n v="4471"/>
    <n v="1721"/>
    <x v="0"/>
    <x v="14"/>
    <x v="10"/>
    <x v="2"/>
    <x v="0"/>
    <x v="1"/>
    <x v="1"/>
  </r>
  <r>
    <s v="4M Float Switch Water Level Controller -Water Tank"/>
    <n v="475"/>
    <n v="931"/>
    <n v="456"/>
    <x v="15"/>
    <x v="14"/>
    <x v="10"/>
    <x v="2"/>
    <x v="1"/>
    <x v="0"/>
    <x v="0"/>
  </r>
  <r>
    <s v="Modern Sofa Throw Pillow Cover-45x45cm-Blue&amp;Red"/>
    <n v="238"/>
    <n v="476"/>
    <n v="238"/>
    <x v="29"/>
    <x v="14"/>
    <x v="10"/>
    <x v="2"/>
    <x v="1"/>
    <x v="0"/>
    <x v="0"/>
  </r>
  <r>
    <s v="Balloon Insert, Birthday Party Balloon Set, PU Leather"/>
    <n v="610"/>
    <n v="1060"/>
    <n v="450"/>
    <x v="11"/>
    <x v="14"/>
    <x v="10"/>
    <x v="2"/>
    <x v="1"/>
    <x v="0"/>
    <x v="0"/>
  </r>
  <r>
    <s v="Balloon Insert, Birthday Party Balloon Set, PU Leather"/>
    <n v="610"/>
    <n v="1060"/>
    <n v="450"/>
    <x v="11"/>
    <x v="14"/>
    <x v="10"/>
    <x v="2"/>
    <x v="1"/>
    <x v="0"/>
    <x v="0"/>
  </r>
  <r>
    <s v="Shower Cap Wide Elastic Band Cover Reusable Bashroom Cap"/>
    <n v="2132"/>
    <n v="2169"/>
    <n v="37"/>
    <x v="30"/>
    <x v="14"/>
    <x v="10"/>
    <x v="2"/>
    <x v="2"/>
    <x v="1"/>
    <x v="0"/>
  </r>
  <r>
    <s v="Christmas Elk Fence Yard Lawn Decorations Cute For Holidays"/>
    <n v="999"/>
    <n v="2000"/>
    <n v="1001"/>
    <x v="29"/>
    <x v="14"/>
    <x v="10"/>
    <x v="2"/>
    <x v="1"/>
    <x v="0"/>
    <x v="1"/>
  </r>
  <r>
    <s v="60W Hot Melt Glue Sprayer - Efficient And Stable Glue Dispensing"/>
    <n v="1190"/>
    <n v="1785"/>
    <n v="595"/>
    <x v="12"/>
    <x v="14"/>
    <x v="10"/>
    <x v="2"/>
    <x v="0"/>
    <x v="2"/>
    <x v="0"/>
  </r>
  <r>
    <s v="Car Phone Charging Stand"/>
    <n v="671"/>
    <n v="1316"/>
    <n v="645"/>
    <x v="15"/>
    <x v="14"/>
    <x v="10"/>
    <x v="2"/>
    <x v="1"/>
    <x v="0"/>
    <x v="0"/>
  </r>
  <r>
    <s v="2pcs Solar Street Light Flood Light Outdoor"/>
    <n v="1200"/>
    <n v="1950"/>
    <n v="750"/>
    <x v="0"/>
    <x v="14"/>
    <x v="10"/>
    <x v="2"/>
    <x v="0"/>
    <x v="2"/>
    <x v="0"/>
  </r>
  <r>
    <s v="Creative Owl Shape Keychain Black"/>
    <n v="199"/>
    <n v="504"/>
    <n v="305"/>
    <x v="31"/>
    <x v="14"/>
    <x v="10"/>
    <x v="2"/>
    <x v="1"/>
    <x v="0"/>
    <x v="0"/>
  </r>
  <r>
    <s v="Brush &amp; Paintbrush Cleaning Tool Pink"/>
    <n v="299"/>
    <n v="600"/>
    <n v="301"/>
    <x v="29"/>
    <x v="14"/>
    <x v="10"/>
    <x v="2"/>
    <x v="1"/>
    <x v="0"/>
    <x v="0"/>
  </r>
  <r>
    <s v="Pen Grips For Kids Pen Grip Posture Correction Tool For Kids"/>
    <n v="1660"/>
    <n v="1699"/>
    <n v="39"/>
    <x v="30"/>
    <x v="14"/>
    <x v="10"/>
    <x v="2"/>
    <x v="2"/>
    <x v="2"/>
    <x v="0"/>
  </r>
  <r>
    <s v="Pilates Cloth Bag Waterproof Durable High Capacity Purple"/>
    <n v="299"/>
    <n v="384"/>
    <n v="85"/>
    <x v="32"/>
    <x v="14"/>
    <x v="10"/>
    <x v="2"/>
    <x v="0"/>
    <x v="0"/>
    <x v="0"/>
  </r>
  <r>
    <s v="Multi-purpose Rice Drainage Basket And Fruit And Vegetable Drainage Sieve"/>
    <n v="1459"/>
    <n v="1499"/>
    <n v="40"/>
    <x v="33"/>
    <x v="14"/>
    <x v="10"/>
    <x v="2"/>
    <x v="2"/>
    <x v="2"/>
    <x v="0"/>
  </r>
  <r>
    <s v="Cute Christmas Fence Garden Decorations For Holiday Home"/>
    <n v="799"/>
    <n v="1343"/>
    <n v="544"/>
    <x v="28"/>
    <x v="14"/>
    <x v="10"/>
    <x v="2"/>
    <x v="1"/>
    <x v="0"/>
    <x v="0"/>
  </r>
  <r>
    <s v="Simple Metal Dog Art Sculpture Decoration For Home Office"/>
    <n v="499"/>
    <n v="900"/>
    <n v="401"/>
    <x v="8"/>
    <x v="14"/>
    <x v="10"/>
    <x v="2"/>
    <x v="1"/>
    <x v="0"/>
    <x v="0"/>
  </r>
  <r>
    <s v="Christmas Fence Garden Decorations Outdoor For Holiday Home"/>
    <n v="699"/>
    <n v="1343"/>
    <n v="644"/>
    <x v="25"/>
    <x v="14"/>
    <x v="10"/>
    <x v="2"/>
    <x v="1"/>
    <x v="0"/>
    <x v="0"/>
  </r>
  <r>
    <s v="Angle Measuring Tool Full Metal Multi Angle Measuring Tool"/>
    <n v="799"/>
    <n v="1567"/>
    <n v="768"/>
    <x v="15"/>
    <x v="14"/>
    <x v="10"/>
    <x v="2"/>
    <x v="1"/>
    <x v="0"/>
    <x v="0"/>
  </r>
  <r>
    <s v="12V 19500rpm Handheld Electric Angle Grinder Tool - UK - Yellow/Black"/>
    <n v="2799"/>
    <n v="3810"/>
    <n v="1011"/>
    <x v="26"/>
    <x v="14"/>
    <x v="10"/>
    <x v="2"/>
    <x v="0"/>
    <x v="1"/>
    <x v="1"/>
  </r>
  <r>
    <s v="Simple Metal Dog Art Sculpture Decoration For Home Office"/>
    <n v="399"/>
    <n v="896"/>
    <n v="497"/>
    <x v="7"/>
    <x v="14"/>
    <x v="10"/>
    <x v="2"/>
    <x v="1"/>
    <x v="0"/>
    <x v="0"/>
  </r>
  <r>
    <s v="5 Pieces/set Of Stainless Steel Induction Cooker Pots"/>
    <n v="2170"/>
    <n v="2500"/>
    <n v="330"/>
    <x v="34"/>
    <x v="9"/>
    <x v="13"/>
    <x v="3"/>
    <x v="2"/>
    <x v="1"/>
    <x v="0"/>
  </r>
  <r>
    <s v="Mythco 120COB Solar Wall Ligt With Motion Sensor And Remote Control 3 Modes"/>
    <n v="458"/>
    <n v="986"/>
    <n v="528"/>
    <x v="20"/>
    <x v="20"/>
    <x v="14"/>
    <x v="0"/>
    <x v="1"/>
    <x v="0"/>
    <x v="0"/>
  </r>
  <r>
    <s v="5-PCS Stainless Steel Cooking Pot Set With Steamed Slices"/>
    <n v="2115"/>
    <n v="4700"/>
    <n v="2585"/>
    <x v="7"/>
    <x v="13"/>
    <x v="15"/>
    <x v="3"/>
    <x v="1"/>
    <x v="1"/>
    <x v="2"/>
  </r>
  <r>
    <s v="120W Cordless Vacuum Cleaners Handheld Electric Vacuum Cleaner"/>
    <n v="445"/>
    <n v="873"/>
    <n v="428"/>
    <x v="15"/>
    <x v="21"/>
    <x v="16"/>
    <x v="3"/>
    <x v="1"/>
    <x v="0"/>
    <x v="0"/>
  </r>
  <r>
    <s v="Intelligent  LED Body Sensor Wireless Lighting Night Light USB"/>
    <n v="325"/>
    <n v="680"/>
    <n v="355"/>
    <x v="24"/>
    <x v="5"/>
    <x v="17"/>
    <x v="3"/>
    <x v="1"/>
    <x v="0"/>
    <x v="0"/>
  </r>
  <r>
    <s v="VIC Wireless Vacuum Cleaner Dual Use For Home And Car 120W High Power Powerful"/>
    <n v="1220"/>
    <n v="1555"/>
    <n v="335"/>
    <x v="32"/>
    <x v="22"/>
    <x v="18"/>
    <x v="3"/>
    <x v="0"/>
    <x v="2"/>
    <x v="0"/>
  </r>
  <r>
    <s v="Artificial Potted Flowers Room Decorative Flowers (2 Pieces)"/>
    <n v="990"/>
    <n v="1814"/>
    <n v="824"/>
    <x v="8"/>
    <x v="9"/>
    <x v="19"/>
    <x v="3"/>
    <x v="1"/>
    <x v="0"/>
    <x v="0"/>
  </r>
  <r>
    <s v="380ML USB Rechargeable Portable Small Blenders And Juicers"/>
    <n v="1000"/>
    <n v="2000"/>
    <n v="1000"/>
    <x v="29"/>
    <x v="3"/>
    <x v="20"/>
    <x v="3"/>
    <x v="1"/>
    <x v="2"/>
    <x v="1"/>
  </r>
  <r>
    <s v="32PCS Portable Cordless Drill Set With Cyclic Battery Drive -26 Variable Speed"/>
    <n v="3750"/>
    <n v="6143"/>
    <n v="2393"/>
    <x v="35"/>
    <x v="4"/>
    <x v="14"/>
    <x v="0"/>
    <x v="0"/>
    <x v="1"/>
    <x v="2"/>
  </r>
  <r>
    <s v="Agapeon Toothbrush Holder And Toothpaste Dispenser"/>
    <n v="382"/>
    <n v="700"/>
    <n v="318"/>
    <x v="8"/>
    <x v="23"/>
    <x v="21"/>
    <x v="3"/>
    <x v="1"/>
    <x v="0"/>
    <x v="0"/>
  </r>
  <r>
    <s v="Large Lazy Inflatable Sofa Chairs PVC Lounger Seat Bag"/>
    <n v="2300"/>
    <n v="3240"/>
    <n v="940"/>
    <x v="36"/>
    <x v="4"/>
    <x v="14"/>
    <x v="0"/>
    <x v="0"/>
    <x v="1"/>
    <x v="0"/>
  </r>
  <r>
    <s v="Watercolour Gold Foil Textured Print Pillow Cover"/>
    <n v="345"/>
    <n v="602"/>
    <n v="257"/>
    <x v="37"/>
    <x v="9"/>
    <x v="20"/>
    <x v="3"/>
    <x v="1"/>
    <x v="0"/>
    <x v="0"/>
  </r>
  <r>
    <s v="Wrought Iron Bathroom Shelf Wall Mounted Free Punch Toilet Rack"/>
    <n v="509"/>
    <n v="899"/>
    <n v="390"/>
    <x v="37"/>
    <x v="4"/>
    <x v="14"/>
    <x v="0"/>
    <x v="1"/>
    <x v="0"/>
    <x v="0"/>
  </r>
  <r>
    <s v="7-piece Set Of Storage Bags, Travel Storage Bags, Shoe Bags"/>
    <n v="968"/>
    <n v="1814"/>
    <n v="846"/>
    <x v="1"/>
    <x v="9"/>
    <x v="19"/>
    <x v="3"/>
    <x v="1"/>
    <x v="0"/>
    <x v="0"/>
  </r>
  <r>
    <s v="Electric LED UV Mosquito Killer Lamp, Outdoor/Indoor Fly Killer Trap Light -USB"/>
    <n v="1570"/>
    <n v="2988"/>
    <n v="1418"/>
    <x v="1"/>
    <x v="3"/>
    <x v="15"/>
    <x v="3"/>
    <x v="1"/>
    <x v="2"/>
    <x v="1"/>
  </r>
  <r>
    <s v="2PCS/LOT Solar LED Outdoor Intelligent Light Controlled Wall Lamp"/>
    <n v="790"/>
    <n v="1485"/>
    <n v="695"/>
    <x v="1"/>
    <x v="14"/>
    <x v="10"/>
    <x v="2"/>
    <x v="1"/>
    <x v="0"/>
    <x v="0"/>
  </r>
  <r>
    <s v="3PCS Rotary Scraper Thermomix For Kitchen"/>
    <n v="690"/>
    <n v="1200"/>
    <n v="510"/>
    <x v="37"/>
    <x v="14"/>
    <x v="10"/>
    <x v="2"/>
    <x v="1"/>
    <x v="0"/>
    <x v="0"/>
  </r>
  <r>
    <s v="Cushion Silicone Butt Cushion Summer Ice Cushion Honeycomb Gel Cushion"/>
    <n v="1732"/>
    <n v="1799"/>
    <n v="67"/>
    <x v="38"/>
    <x v="14"/>
    <x v="10"/>
    <x v="2"/>
    <x v="2"/>
    <x v="2"/>
    <x v="0"/>
  </r>
  <r>
    <s v="7PCS Silicone Thumb Knife Finger Protector Vegetable Harvesting Knife"/>
    <n v="230"/>
    <n v="450"/>
    <n v="220"/>
    <x v="15"/>
    <x v="14"/>
    <x v="10"/>
    <x v="2"/>
    <x v="1"/>
    <x v="0"/>
    <x v="0"/>
  </r>
  <r>
    <s v="Memory Foam Neck Pillow Cover, With Pillow Core - 50*30cm"/>
    <n v="1189"/>
    <n v="2199"/>
    <n v="1010"/>
    <x v="14"/>
    <x v="18"/>
    <x v="14"/>
    <x v="0"/>
    <x v="1"/>
    <x v="2"/>
    <x v="1"/>
  </r>
  <r>
    <s v="Bedroom Simple Floor Hanging Clothes Rack Single Pole Hat Rack - White"/>
    <n v="979"/>
    <n v="1920"/>
    <n v="941"/>
    <x v="15"/>
    <x v="18"/>
    <x v="8"/>
    <x v="1"/>
    <x v="1"/>
    <x v="0"/>
    <x v="0"/>
  </r>
  <r>
    <s v="5m Waterproof Spherical LED String Lights Outdoor Ball Chain Lights Party Lighting Decoration Adjustable"/>
    <n v="1460"/>
    <n v="2290"/>
    <n v="830"/>
    <x v="39"/>
    <x v="14"/>
    <x v="10"/>
    <x v="2"/>
    <x v="0"/>
    <x v="2"/>
    <x v="0"/>
  </r>
  <r>
    <s v="2 Pairs Cowhide Split Leather Work Gloves.32â„‰ Or Above Welding Gloves"/>
    <n v="1666"/>
    <n v="1699"/>
    <n v="33"/>
    <x v="30"/>
    <x v="14"/>
    <x v="10"/>
    <x v="2"/>
    <x v="2"/>
    <x v="2"/>
    <x v="0"/>
  </r>
  <r>
    <s v="Household Pineapple Peeler Peeler"/>
    <n v="330"/>
    <n v="647"/>
    <n v="317"/>
    <x v="15"/>
    <x v="18"/>
    <x v="5"/>
    <x v="0"/>
    <x v="1"/>
    <x v="0"/>
    <x v="0"/>
  </r>
  <r>
    <s v="Balloon Insert, Birthday Party Balloon Set, PU Leather"/>
    <n v="610"/>
    <n v="1060"/>
    <n v="450"/>
    <x v="11"/>
    <x v="14"/>
    <x v="10"/>
    <x v="2"/>
    <x v="1"/>
    <x v="0"/>
    <x v="0"/>
  </r>
  <r>
    <s v="Creative Owl Shape Keychain Black"/>
    <n v="176"/>
    <n v="345"/>
    <n v="169"/>
    <x v="15"/>
    <x v="14"/>
    <x v="10"/>
    <x v="2"/>
    <x v="1"/>
    <x v="0"/>
    <x v="0"/>
  </r>
  <r>
    <s v="Office Chair Lumbar Back Support Spine Posture Correction Pillow Car Cushion"/>
    <n v="1466"/>
    <n v="1699"/>
    <n v="233"/>
    <x v="40"/>
    <x v="14"/>
    <x v="10"/>
    <x v="2"/>
    <x v="2"/>
    <x v="2"/>
    <x v="0"/>
  </r>
  <r>
    <s v="Cartoon Car Decoration Cute Individuality For Car Home Desk"/>
    <n v="274"/>
    <n v="537"/>
    <n v="263"/>
    <x v="15"/>
    <x v="14"/>
    <x v="10"/>
    <x v="2"/>
    <x v="1"/>
    <x v="0"/>
    <x v="0"/>
  </r>
  <r>
    <s v="Outdoor Portable Water Bottle With Medicine Box - 600ML - Black"/>
    <n v="799"/>
    <n v="900"/>
    <n v="101"/>
    <x v="41"/>
    <x v="14"/>
    <x v="10"/>
    <x v="2"/>
    <x v="2"/>
    <x v="0"/>
    <x v="0"/>
  </r>
  <r>
    <s v="Angle Measuring Tool Full Metal Multi Angle Measuring Tool"/>
    <n v="657"/>
    <n v="1288"/>
    <n v="631"/>
    <x v="15"/>
    <x v="14"/>
    <x v="10"/>
    <x v="2"/>
    <x v="1"/>
    <x v="0"/>
    <x v="0"/>
  </r>
  <r>
    <s v="Wall-Mounted Toothbrush Toothpaste Holder With Multiple Slots"/>
    <n v="1468"/>
    <n v="1699"/>
    <n v="231"/>
    <x v="40"/>
    <x v="14"/>
    <x v="10"/>
    <x v="2"/>
    <x v="2"/>
    <x v="2"/>
    <x v="0"/>
  </r>
  <r>
    <s v="Multifunctional Hanging Storage Box Storage Bag (4 Layers)"/>
    <n v="630"/>
    <n v="1100"/>
    <n v="470"/>
    <x v="37"/>
    <x v="14"/>
    <x v="10"/>
    <x v="2"/>
    <x v="1"/>
    <x v="0"/>
    <x v="0"/>
  </r>
  <r>
    <s v="Wall Clock With Hidden Safe Box"/>
    <n v="850"/>
    <n v="1700"/>
    <n v="850"/>
    <x v="29"/>
    <x v="14"/>
    <x v="10"/>
    <x v="2"/>
    <x v="1"/>
    <x v="0"/>
    <x v="0"/>
  </r>
  <r>
    <s v="Portable Wine Table With Folding Round Table"/>
    <n v="1300"/>
    <n v="2500"/>
    <n v="1200"/>
    <x v="25"/>
    <x v="14"/>
    <x v="10"/>
    <x v="2"/>
    <x v="1"/>
    <x v="2"/>
    <x v="1"/>
  </r>
  <r>
    <s v="Sewing Machine Needle Threader Stitch Insertion Tool Automatic Quick Sewing"/>
    <n v="105"/>
    <n v="200"/>
    <n v="95"/>
    <x v="25"/>
    <x v="14"/>
    <x v="10"/>
    <x v="2"/>
    <x v="1"/>
    <x v="0"/>
    <x v="0"/>
  </r>
  <r>
    <s v="6 Layers Steel Pipe Assembling Dustproof Storage Shoe Cabinet"/>
    <n v="899"/>
    <n v="1699"/>
    <n v="800"/>
    <x v="1"/>
    <x v="14"/>
    <x v="10"/>
    <x v="2"/>
    <x v="1"/>
    <x v="0"/>
    <x v="0"/>
  </r>
  <r>
    <s v="6 Layers Steel Pipe Assembling Dustproof Storage Shoe Cabinet"/>
    <n v="899"/>
    <n v="1699"/>
    <n v="800"/>
    <x v="1"/>
    <x v="14"/>
    <x v="10"/>
    <x v="2"/>
    <x v="1"/>
    <x v="0"/>
    <x v="0"/>
  </r>
  <r>
    <s v="2PCS Ice Silk Square Cushion Cover Pillowcases - 65x65cm"/>
    <n v="1200"/>
    <n v="2400"/>
    <n v="1200"/>
    <x v="29"/>
    <x v="14"/>
    <x v="10"/>
    <x v="2"/>
    <x v="1"/>
    <x v="2"/>
    <x v="1"/>
  </r>
  <r>
    <s v="Wall Mount Automatic Toothpaste Dispenser Toothbrush Holder Toothpaste Squeezer"/>
    <n v="1526"/>
    <n v="1660"/>
    <n v="134"/>
    <x v="42"/>
    <x v="14"/>
    <x v="10"/>
    <x v="2"/>
    <x v="2"/>
    <x v="2"/>
    <x v="0"/>
  </r>
  <r>
    <s v="Portable Soap Dispenser Kitchen Detergent Press Box Kitchen Tools"/>
    <n v="1462"/>
    <n v="1499"/>
    <n v="37"/>
    <x v="30"/>
    <x v="14"/>
    <x v="10"/>
    <x v="2"/>
    <x v="2"/>
    <x v="2"/>
    <x v="0"/>
  </r>
  <r>
    <s v="4 Piece Coloured Stainless Steel Kitchenware Set"/>
    <n v="248"/>
    <n v="486"/>
    <n v="238"/>
    <x v="15"/>
    <x v="14"/>
    <x v="10"/>
    <x v="2"/>
    <x v="1"/>
    <x v="0"/>
    <x v="0"/>
  </r>
  <r>
    <s v="Metal Wall Clock Silver Dial Crystal Jewelry Round Home Decoration Wall Clock"/>
    <n v="3546"/>
    <n v="3699"/>
    <n v="153"/>
    <x v="38"/>
    <x v="14"/>
    <x v="10"/>
    <x v="2"/>
    <x v="2"/>
    <x v="1"/>
    <x v="0"/>
  </r>
  <r>
    <s v="Baby Early Education Shape And Color Cognitive Training Toys"/>
    <n v="525"/>
    <n v="1029"/>
    <n v="504"/>
    <x v="15"/>
    <x v="14"/>
    <x v="10"/>
    <x v="2"/>
    <x v="1"/>
    <x v="0"/>
    <x v="0"/>
  </r>
  <r>
    <s v="8in1 Screwdriver With LED Light"/>
    <n v="1080"/>
    <n v="1874"/>
    <n v="794"/>
    <x v="11"/>
    <x v="14"/>
    <x v="10"/>
    <x v="2"/>
    <x v="1"/>
    <x v="2"/>
    <x v="0"/>
  </r>
  <r>
    <s v="Konka Healty Electric Kettle, 24-hour Heat Preservation,1.5L,800W, White"/>
    <n v="3640"/>
    <n v="4588"/>
    <n v="948"/>
    <x v="43"/>
    <x v="18"/>
    <x v="8"/>
    <x v="1"/>
    <x v="0"/>
    <x v="1"/>
    <x v="0"/>
  </r>
  <r>
    <s v="9pcs Gas Mask, For Painting, Dust, Formaldehyde Grinding, Polishing"/>
    <n v="1420"/>
    <n v="2420"/>
    <n v="1000"/>
    <x v="28"/>
    <x v="14"/>
    <x v="10"/>
    <x v="2"/>
    <x v="1"/>
    <x v="2"/>
    <x v="1"/>
  </r>
  <r>
    <s v="24 Grid Wall-mounted Sundries Organiser Fabric Closet Bag Storage Rack"/>
    <n v="1875"/>
    <n v="1899"/>
    <n v="24"/>
    <x v="44"/>
    <x v="14"/>
    <x v="10"/>
    <x v="2"/>
    <x v="2"/>
    <x v="2"/>
    <x v="0"/>
  </r>
  <r>
    <s v="1PC Refrigerator Food Seal Pocket Fridge Bags"/>
    <n v="198"/>
    <n v="260"/>
    <n v="62"/>
    <x v="6"/>
    <x v="14"/>
    <x v="10"/>
    <x v="2"/>
    <x v="0"/>
    <x v="0"/>
    <x v="0"/>
  </r>
  <r>
    <s v="LED Solar Street Light-fake Camera"/>
    <n v="1150"/>
    <n v="1737"/>
    <n v="587"/>
    <x v="10"/>
    <x v="14"/>
    <x v="10"/>
    <x v="2"/>
    <x v="0"/>
    <x v="2"/>
    <x v="0"/>
  </r>
  <r>
    <s v="Cartoon Embroidered Mini Towel Bear Cotton Wash Cloth Hand 4pcs"/>
    <n v="1190"/>
    <n v="1810"/>
    <n v="620"/>
    <x v="10"/>
    <x v="14"/>
    <x v="10"/>
    <x v="2"/>
    <x v="0"/>
    <x v="2"/>
    <x v="0"/>
  </r>
  <r>
    <s v="Shower Nozzle Cleaning Unclogging Needle Mini Crevice Small Hole Cleaning Brush"/>
    <n v="1658"/>
    <n v="1699"/>
    <n v="41"/>
    <x v="30"/>
    <x v="14"/>
    <x v="10"/>
    <x v="2"/>
    <x v="2"/>
    <x v="2"/>
    <x v="0"/>
  </r>
  <r>
    <s v="Thickening Multipurpose Non Stick Easy To Clean Heat Resistant Spoon Pad"/>
    <n v="1768"/>
    <n v="1799"/>
    <n v="31"/>
    <x v="30"/>
    <x v="14"/>
    <x v="10"/>
    <x v="2"/>
    <x v="2"/>
    <x v="2"/>
    <x v="0"/>
  </r>
  <r>
    <s v="6 In 1 Bottle Can Opener Multifunctional Easy Opener"/>
    <n v="199"/>
    <n v="553"/>
    <n v="354"/>
    <x v="45"/>
    <x v="14"/>
    <x v="10"/>
    <x v="2"/>
    <x v="1"/>
    <x v="0"/>
    <x v="0"/>
  </r>
  <r>
    <s v="Wall-mounted Sticker Punch-free Plug Fixer"/>
    <n v="450"/>
    <n v="900"/>
    <n v="450"/>
    <x v="29"/>
    <x v="18"/>
    <x v="22"/>
    <x v="3"/>
    <x v="1"/>
    <x v="0"/>
    <x v="0"/>
  </r>
  <r>
    <s v="Black Simple Water Cup Wine Coaster Anti Slip Absorbent"/>
    <n v="169"/>
    <n v="320"/>
    <n v="151"/>
    <x v="1"/>
    <x v="14"/>
    <x v="10"/>
    <x v="2"/>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BB64E-96D5-4111-93C0-34F71574A2B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P7" firstHeaderRow="0" firstDataRow="1" firstDataCol="1"/>
  <pivotFields count="11">
    <pivotField showAll="0"/>
    <pivotField dataField="1" showAll="0"/>
    <pivotField showAll="0"/>
    <pivotField numFmtId="3" showAll="0"/>
    <pivotField numFmtId="9" showAll="0"/>
    <pivotField showAll="0"/>
    <pivotField dataField="1" showAll="0"/>
    <pivotField showAll="0">
      <items count="5">
        <item x="0"/>
        <item x="1"/>
        <item x="2"/>
        <item x="3"/>
        <item t="default"/>
      </items>
    </pivotField>
    <pivotField showAll="0">
      <items count="4">
        <item x="1"/>
        <item x="2"/>
        <item x="0"/>
        <item t="default"/>
      </items>
    </pivotField>
    <pivotField axis="axisRow" showAll="0">
      <items count="4">
        <item x="0"/>
        <item x="2"/>
        <item x="1"/>
        <item t="default"/>
      </items>
    </pivotField>
    <pivotField showAll="0"/>
  </pivotFields>
  <rowFields count="1">
    <field x="9"/>
  </rowFields>
  <rowItems count="4">
    <i>
      <x/>
    </i>
    <i>
      <x v="1"/>
    </i>
    <i>
      <x v="2"/>
    </i>
    <i t="grand">
      <x/>
    </i>
  </rowItems>
  <colFields count="1">
    <field x="-2"/>
  </colFields>
  <colItems count="2">
    <i>
      <x/>
    </i>
    <i i="1">
      <x v="1"/>
    </i>
  </colItems>
  <dataFields count="2">
    <dataField name="Average of Rating" fld="6" subtotal="average" baseField="0" baseItem="0"/>
    <dataField name="Average of Current price" fld="1" subtotal="average"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16D71F-734E-4088-A4E8-E6E4159F569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11:T22" firstHeaderRow="1" firstDataRow="1" firstDataCol="1"/>
  <pivotFields count="11">
    <pivotField showAll="0"/>
    <pivotField showAll="0"/>
    <pivotField showAll="0"/>
    <pivotField numFmtId="3" showAll="0"/>
    <pivotField axis="axisRow" dataField="1" numFmtId="9" showAll="0" measureFilter="1">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25">
        <item x="14"/>
        <item x="18"/>
        <item x="0"/>
        <item x="11"/>
        <item x="4"/>
        <item x="9"/>
        <item x="3"/>
        <item x="10"/>
        <item x="20"/>
        <item x="7"/>
        <item x="13"/>
        <item x="1"/>
        <item x="5"/>
        <item x="22"/>
        <item x="23"/>
        <item x="16"/>
        <item x="2"/>
        <item x="17"/>
        <item x="19"/>
        <item x="8"/>
        <item x="12"/>
        <item x="15"/>
        <item x="6"/>
        <item x="21"/>
        <item t="default"/>
      </items>
    </pivotField>
    <pivotField showAll="0">
      <items count="24">
        <item x="10"/>
        <item x="22"/>
        <item x="15"/>
        <item x="19"/>
        <item x="20"/>
        <item x="13"/>
        <item x="21"/>
        <item x="17"/>
        <item x="16"/>
        <item x="18"/>
        <item x="14"/>
        <item x="9"/>
        <item x="6"/>
        <item x="5"/>
        <item x="1"/>
        <item x="7"/>
        <item x="12"/>
        <item x="11"/>
        <item x="0"/>
        <item x="2"/>
        <item x="3"/>
        <item x="4"/>
        <item x="8"/>
        <item t="default"/>
      </items>
    </pivotField>
    <pivotField showAll="0">
      <items count="5">
        <item x="0"/>
        <item x="1"/>
        <item x="2"/>
        <item x="3"/>
        <item t="default"/>
      </items>
    </pivotField>
    <pivotField showAll="0">
      <items count="4">
        <item x="1"/>
        <item x="2"/>
        <item x="0"/>
        <item t="default"/>
      </items>
    </pivotField>
    <pivotField showAll="0">
      <items count="4">
        <item x="0"/>
        <item x="2"/>
        <item x="1"/>
        <item t="default"/>
      </items>
    </pivotField>
    <pivotField showAll="0">
      <items count="4">
        <item x="2"/>
        <item x="0"/>
        <item x="1"/>
        <item t="default"/>
      </items>
    </pivotField>
  </pivotFields>
  <rowFields count="1">
    <field x="4"/>
  </rowFields>
  <rowItems count="11">
    <i>
      <x v="36"/>
    </i>
    <i>
      <x v="37"/>
    </i>
    <i>
      <x v="38"/>
    </i>
    <i>
      <x v="39"/>
    </i>
    <i>
      <x v="40"/>
    </i>
    <i>
      <x v="41"/>
    </i>
    <i>
      <x v="42"/>
    </i>
    <i>
      <x v="43"/>
    </i>
    <i>
      <x v="44"/>
    </i>
    <i>
      <x v="45"/>
    </i>
    <i t="grand">
      <x/>
    </i>
  </rowItems>
  <colItems count="1">
    <i/>
  </colItems>
  <dataFields count="1">
    <dataField name="Average of Discount" fld="4" subtotal="average" baseField="0" baseItem="0" numFmtId="9"/>
  </dataFields>
  <chartFormats count="11">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36"/>
          </reference>
        </references>
      </pivotArea>
    </chartFormat>
    <chartFormat chart="3" format="14">
      <pivotArea type="data" outline="0" fieldPosition="0">
        <references count="2">
          <reference field="4294967294" count="1" selected="0">
            <x v="0"/>
          </reference>
          <reference field="4" count="1" selected="0">
            <x v="37"/>
          </reference>
        </references>
      </pivotArea>
    </chartFormat>
    <chartFormat chart="3" format="15">
      <pivotArea type="data" outline="0" fieldPosition="0">
        <references count="2">
          <reference field="4294967294" count="1" selected="0">
            <x v="0"/>
          </reference>
          <reference field="4" count="1" selected="0">
            <x v="38"/>
          </reference>
        </references>
      </pivotArea>
    </chartFormat>
    <chartFormat chart="3" format="16">
      <pivotArea type="data" outline="0" fieldPosition="0">
        <references count="2">
          <reference field="4294967294" count="1" selected="0">
            <x v="0"/>
          </reference>
          <reference field="4" count="1" selected="0">
            <x v="39"/>
          </reference>
        </references>
      </pivotArea>
    </chartFormat>
    <chartFormat chart="3" format="17">
      <pivotArea type="data" outline="0" fieldPosition="0">
        <references count="2">
          <reference field="4294967294" count="1" selected="0">
            <x v="0"/>
          </reference>
          <reference field="4" count="1" selected="0">
            <x v="40"/>
          </reference>
        </references>
      </pivotArea>
    </chartFormat>
    <chartFormat chart="3" format="18">
      <pivotArea type="data" outline="0" fieldPosition="0">
        <references count="2">
          <reference field="4294967294" count="1" selected="0">
            <x v="0"/>
          </reference>
          <reference field="4" count="1" selected="0">
            <x v="41"/>
          </reference>
        </references>
      </pivotArea>
    </chartFormat>
    <chartFormat chart="3" format="19">
      <pivotArea type="data" outline="0" fieldPosition="0">
        <references count="2">
          <reference field="4294967294" count="1" selected="0">
            <x v="0"/>
          </reference>
          <reference field="4" count="1" selected="0">
            <x v="42"/>
          </reference>
        </references>
      </pivotArea>
    </chartFormat>
    <chartFormat chart="3" format="20">
      <pivotArea type="data" outline="0" fieldPosition="0">
        <references count="2">
          <reference field="4294967294" count="1" selected="0">
            <x v="0"/>
          </reference>
          <reference field="4" count="1" selected="0">
            <x v="43"/>
          </reference>
        </references>
      </pivotArea>
    </chartFormat>
    <chartFormat chart="3" format="21">
      <pivotArea type="data" outline="0" fieldPosition="0">
        <references count="2">
          <reference field="4294967294" count="1" selected="0">
            <x v="0"/>
          </reference>
          <reference field="4" count="1" selected="0">
            <x v="44"/>
          </reference>
        </references>
      </pivotArea>
    </chartFormat>
    <chartFormat chart="3" format="22">
      <pivotArea type="data" outline="0" fieldPosition="0">
        <references count="2">
          <reference field="4294967294" count="1" selected="0">
            <x v="0"/>
          </reference>
          <reference field="4" count="1" selected="0">
            <x v="45"/>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8E390C-79E5-43CA-858F-C4DCD240F9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J7" firstHeaderRow="0" firstDataRow="1" firstDataCol="1"/>
  <pivotFields count="11">
    <pivotField showAll="0"/>
    <pivotField showAll="0"/>
    <pivotField showAll="0"/>
    <pivotField numFmtId="3" showAll="0"/>
    <pivotField numFmtId="9" showAll="0"/>
    <pivotField dataField="1" showAll="0"/>
    <pivotField showAll="0"/>
    <pivotField showAll="0">
      <items count="5">
        <item x="0"/>
        <item x="1"/>
        <item x="2"/>
        <item x="3"/>
        <item t="default"/>
      </items>
    </pivotField>
    <pivotField showAll="0">
      <items count="4">
        <item x="1"/>
        <item x="2"/>
        <item x="0"/>
        <item t="default"/>
      </items>
    </pivotField>
    <pivotField axis="axisRow" showAll="0">
      <items count="4">
        <item x="0"/>
        <item x="2"/>
        <item x="1"/>
        <item t="default"/>
      </items>
    </pivotField>
    <pivotField showAll="0"/>
  </pivotFields>
  <rowFields count="1">
    <field x="9"/>
  </rowFields>
  <rowItems count="4">
    <i>
      <x/>
    </i>
    <i>
      <x v="1"/>
    </i>
    <i>
      <x v="2"/>
    </i>
    <i t="grand">
      <x/>
    </i>
  </rowItems>
  <colFields count="1">
    <field x="-2"/>
  </colFields>
  <colItems count="2">
    <i>
      <x/>
    </i>
    <i i="1">
      <x v="1"/>
    </i>
  </colItems>
  <dataFields count="2">
    <dataField name="Average of Review" fld="5" subtotal="average" baseField="0" baseItem="0"/>
    <dataField name="Count of Review2" fld="5"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A7C1C7-39CB-405B-A23C-B2636F1A139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B30" firstHeaderRow="1" firstDataRow="1" firstDataCol="0"/>
  <pivotFields count="11">
    <pivotField showAll="0"/>
    <pivotField dataField="1" showAll="0"/>
    <pivotField showAll="0"/>
    <pivotField numFmtId="3" showAll="0"/>
    <pivotField numFmtId="9" showAll="0"/>
    <pivotField showAll="0"/>
    <pivotField showAll="0"/>
    <pivotField showAll="0">
      <items count="5">
        <item x="0"/>
        <item x="1"/>
        <item x="2"/>
        <item x="3"/>
        <item t="default"/>
      </items>
    </pivotField>
    <pivotField showAll="0">
      <items count="4">
        <item x="1"/>
        <item x="2"/>
        <item x="0"/>
        <item t="default"/>
      </items>
    </pivotField>
    <pivotField showAll="0">
      <items count="4">
        <item x="0"/>
        <item x="2"/>
        <item x="1"/>
        <item t="default"/>
      </items>
    </pivotField>
    <pivotField showAll="0">
      <items count="4">
        <item x="2"/>
        <item x="0"/>
        <item x="1"/>
        <item t="default"/>
      </items>
    </pivotField>
  </pivotFields>
  <rowItems count="1">
    <i/>
  </rowItems>
  <colItems count="1">
    <i/>
  </colItems>
  <dataFields count="1">
    <dataField name="Average of Current pric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F28BF5-4341-4CDE-A5F8-AA714A143C1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9:C30" firstHeaderRow="1" firstDataRow="1" firstDataCol="0"/>
  <pivotFields count="11">
    <pivotField showAll="0"/>
    <pivotField showAll="0"/>
    <pivotField showAll="0"/>
    <pivotField numFmtId="3" showAll="0"/>
    <pivotField dataField="1" numFmtId="9" showAll="0"/>
    <pivotField showAll="0"/>
    <pivotField showAll="0"/>
    <pivotField showAll="0">
      <items count="5">
        <item x="0"/>
        <item x="1"/>
        <item x="2"/>
        <item x="3"/>
        <item t="default"/>
      </items>
    </pivotField>
    <pivotField showAll="0">
      <items count="4">
        <item x="1"/>
        <item x="2"/>
        <item x="0"/>
        <item t="default"/>
      </items>
    </pivotField>
    <pivotField showAll="0">
      <items count="4">
        <item x="0"/>
        <item x="2"/>
        <item x="1"/>
        <item t="default"/>
      </items>
    </pivotField>
    <pivotField showAll="0">
      <items count="4">
        <item x="2"/>
        <item x="0"/>
        <item x="1"/>
        <item t="default"/>
      </items>
    </pivotField>
  </pivotFields>
  <rowItems count="1">
    <i/>
  </rowItems>
  <colItems count="1">
    <i/>
  </colItems>
  <dataFields count="1">
    <dataField name="Average of Discount" fld="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5163D3-7DFA-4768-8096-0B839E220E1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A33" firstHeaderRow="1" firstDataRow="1" firstDataCol="0"/>
  <pivotFields count="11">
    <pivotField showAll="0"/>
    <pivotField showAll="0"/>
    <pivotField showAll="0"/>
    <pivotField numFmtId="3" showAll="0"/>
    <pivotField numFmtId="9" showAll="0"/>
    <pivotField showAll="0"/>
    <pivotField dataField="1" showAll="0"/>
    <pivotField showAll="0">
      <items count="5">
        <item x="0"/>
        <item x="1"/>
        <item x="2"/>
        <item x="3"/>
        <item t="default"/>
      </items>
    </pivotField>
    <pivotField showAll="0">
      <items count="4">
        <item x="1"/>
        <item x="2"/>
        <item x="0"/>
        <item t="default"/>
      </items>
    </pivotField>
    <pivotField showAll="0">
      <items count="4">
        <item x="0"/>
        <item x="2"/>
        <item x="1"/>
        <item t="default"/>
      </items>
    </pivotField>
    <pivotField showAll="0">
      <items count="4">
        <item x="2"/>
        <item x="0"/>
        <item x="1"/>
        <item t="default"/>
      </items>
    </pivotField>
  </pivotFields>
  <rowItems count="1">
    <i/>
  </rowItems>
  <colItems count="1">
    <i/>
  </colItems>
  <dataFields count="1">
    <dataField name="Average of Rating"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2295FB-EF65-4F32-9B8D-44D30D5946E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9:G50" firstHeaderRow="1" firstDataRow="1" firstDataCol="1"/>
  <pivotFields count="11">
    <pivotField showAll="0"/>
    <pivotField showAll="0"/>
    <pivotField showAll="0"/>
    <pivotField numFmtId="3" showAll="0"/>
    <pivotField numFmtId="9" showAll="0"/>
    <pivotField axis="axisRow" dataField="1" showAll="0" measureFilter="1">
      <items count="25">
        <item x="14"/>
        <item x="18"/>
        <item x="0"/>
        <item x="11"/>
        <item x="4"/>
        <item x="9"/>
        <item x="3"/>
        <item x="10"/>
        <item x="20"/>
        <item x="7"/>
        <item x="13"/>
        <item x="1"/>
        <item x="5"/>
        <item x="22"/>
        <item x="23"/>
        <item x="16"/>
        <item x="2"/>
        <item x="17"/>
        <item x="19"/>
        <item x="8"/>
        <item x="12"/>
        <item x="15"/>
        <item x="6"/>
        <item x="21"/>
        <item t="default"/>
      </items>
    </pivotField>
    <pivotField showAll="0">
      <items count="24">
        <item x="10"/>
        <item x="22"/>
        <item x="15"/>
        <item x="19"/>
        <item x="20"/>
        <item x="13"/>
        <item x="21"/>
        <item x="17"/>
        <item x="16"/>
        <item x="18"/>
        <item x="14"/>
        <item x="9"/>
        <item x="6"/>
        <item x="5"/>
        <item x="1"/>
        <item x="7"/>
        <item x="12"/>
        <item x="11"/>
        <item x="0"/>
        <item x="2"/>
        <item x="3"/>
        <item x="4"/>
        <item x="8"/>
        <item t="default"/>
      </items>
    </pivotField>
    <pivotField showAll="0">
      <items count="5">
        <item x="0"/>
        <item x="1"/>
        <item x="2"/>
        <item x="3"/>
        <item t="default"/>
      </items>
    </pivotField>
    <pivotField showAll="0">
      <items count="4">
        <item x="1"/>
        <item x="2"/>
        <item x="0"/>
        <item t="default"/>
      </items>
    </pivotField>
    <pivotField showAll="0">
      <items count="4">
        <item x="0"/>
        <item x="2"/>
        <item x="1"/>
        <item t="default"/>
      </items>
    </pivotField>
    <pivotField showAll="0">
      <items count="4">
        <item x="2"/>
        <item x="0"/>
        <item x="1"/>
        <item t="default"/>
      </items>
    </pivotField>
  </pivotFields>
  <rowFields count="1">
    <field x="5"/>
  </rowFields>
  <rowItems count="11">
    <i>
      <x v="14"/>
    </i>
    <i>
      <x v="15"/>
    </i>
    <i>
      <x v="16"/>
    </i>
    <i>
      <x v="17"/>
    </i>
    <i>
      <x v="18"/>
    </i>
    <i>
      <x v="19"/>
    </i>
    <i>
      <x v="20"/>
    </i>
    <i>
      <x v="21"/>
    </i>
    <i>
      <x v="22"/>
    </i>
    <i>
      <x v="23"/>
    </i>
    <i t="grand">
      <x/>
    </i>
  </rowItems>
  <colItems count="1">
    <i/>
  </colItems>
  <dataFields count="1">
    <dataField name="Average of Review" fld="5"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D79C01-4586-4B40-A8D1-13A12B83DF5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pivotFields count="11">
    <pivotField dataField="1" showAll="0"/>
    <pivotField showAll="0"/>
    <pivotField showAll="0"/>
    <pivotField numFmtId="3" showAll="0"/>
    <pivotField numFmtId="9" showAll="0"/>
    <pivotField showAll="0"/>
    <pivotField showAll="0"/>
    <pivotField showAll="0">
      <items count="5">
        <item x="0"/>
        <item x="1"/>
        <item x="2"/>
        <item x="3"/>
        <item t="default"/>
      </items>
    </pivotField>
    <pivotField showAll="0">
      <items count="4">
        <item x="1"/>
        <item x="2"/>
        <item x="0"/>
        <item t="default"/>
      </items>
    </pivotField>
    <pivotField showAll="0">
      <items count="4">
        <item x="0"/>
        <item x="2"/>
        <item x="1"/>
        <item t="default"/>
      </items>
    </pivotField>
    <pivotField showAll="0">
      <items count="4">
        <item x="2"/>
        <item x="0"/>
        <item x="1"/>
        <item t="default"/>
      </items>
    </pivotField>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898068-DC4C-46A8-A1C2-8B2CF2CAC1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V7" firstHeaderRow="0" firstDataRow="1" firstDataCol="1"/>
  <pivotFields count="11">
    <pivotField showAll="0"/>
    <pivotField showAll="0"/>
    <pivotField showAll="0"/>
    <pivotField numFmtId="3" showAll="0"/>
    <pivotField numFmtId="9" showAll="0"/>
    <pivotField dataField="1" showAll="0"/>
    <pivotField showAll="0"/>
    <pivotField showAll="0">
      <items count="5">
        <item x="0"/>
        <item x="1"/>
        <item x="2"/>
        <item x="3"/>
        <item t="default"/>
      </items>
    </pivotField>
    <pivotField showAll="0">
      <items count="4">
        <item x="1"/>
        <item x="2"/>
        <item x="0"/>
        <item t="default"/>
      </items>
    </pivotField>
    <pivotField showAll="0">
      <items count="4">
        <item x="0"/>
        <item x="2"/>
        <item x="1"/>
        <item t="default"/>
      </items>
    </pivotField>
    <pivotField axis="axisRow" showAll="0">
      <items count="4">
        <item x="2"/>
        <item x="0"/>
        <item x="1"/>
        <item t="default"/>
      </items>
    </pivotField>
  </pivotFields>
  <rowFields count="1">
    <field x="10"/>
  </rowFields>
  <rowItems count="4">
    <i>
      <x/>
    </i>
    <i>
      <x v="1"/>
    </i>
    <i>
      <x v="2"/>
    </i>
    <i t="grand">
      <x/>
    </i>
  </rowItems>
  <colFields count="1">
    <field x="-2"/>
  </colFields>
  <colItems count="2">
    <i>
      <x/>
    </i>
    <i i="1">
      <x v="1"/>
    </i>
  </colItems>
  <dataFields count="2">
    <dataField name="Count of Review" fld="5" subtotal="count" baseField="0" baseItem="0"/>
    <dataField name="Average of Review2"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D5249F-F77C-4697-9F64-C12A127D24D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9:C50" firstHeaderRow="1" firstDataRow="1" firstDataCol="1"/>
  <pivotFields count="11">
    <pivotField showAll="0"/>
    <pivotField showAll="0"/>
    <pivotField showAll="0"/>
    <pivotField numFmtId="3" showAll="0"/>
    <pivotField numFmtId="9" showAll="0"/>
    <pivotField showAll="0">
      <items count="25">
        <item x="14"/>
        <item x="18"/>
        <item x="0"/>
        <item x="11"/>
        <item x="4"/>
        <item x="9"/>
        <item x="3"/>
        <item x="10"/>
        <item x="20"/>
        <item x="7"/>
        <item x="13"/>
        <item x="1"/>
        <item x="5"/>
        <item x="22"/>
        <item x="23"/>
        <item x="16"/>
        <item x="2"/>
        <item x="17"/>
        <item x="19"/>
        <item x="8"/>
        <item x="12"/>
        <item x="15"/>
        <item x="6"/>
        <item x="21"/>
        <item t="default"/>
      </items>
    </pivotField>
    <pivotField axis="axisRow" dataField="1" showAll="0" measureFilter="1">
      <items count="24">
        <item x="10"/>
        <item x="22"/>
        <item x="15"/>
        <item x="19"/>
        <item x="20"/>
        <item x="13"/>
        <item x="21"/>
        <item x="17"/>
        <item x="16"/>
        <item x="18"/>
        <item x="14"/>
        <item x="9"/>
        <item x="6"/>
        <item x="5"/>
        <item x="1"/>
        <item x="7"/>
        <item x="12"/>
        <item x="11"/>
        <item x="0"/>
        <item x="2"/>
        <item x="3"/>
        <item x="4"/>
        <item x="8"/>
        <item t="default"/>
      </items>
    </pivotField>
    <pivotField showAll="0">
      <items count="5">
        <item x="0"/>
        <item x="1"/>
        <item x="2"/>
        <item x="3"/>
        <item t="default"/>
      </items>
    </pivotField>
    <pivotField showAll="0">
      <items count="4">
        <item x="1"/>
        <item x="2"/>
        <item x="0"/>
        <item t="default"/>
      </items>
    </pivotField>
    <pivotField showAll="0">
      <items count="4">
        <item x="0"/>
        <item x="2"/>
        <item x="1"/>
        <item t="default"/>
      </items>
    </pivotField>
    <pivotField showAll="0">
      <items count="4">
        <item x="2"/>
        <item x="0"/>
        <item x="1"/>
        <item t="default"/>
      </items>
    </pivotField>
  </pivotFields>
  <rowFields count="1">
    <field x="6"/>
  </rowFields>
  <rowItems count="11">
    <i>
      <x v="13"/>
    </i>
    <i>
      <x v="14"/>
    </i>
    <i>
      <x v="15"/>
    </i>
    <i>
      <x v="16"/>
    </i>
    <i>
      <x v="17"/>
    </i>
    <i>
      <x v="18"/>
    </i>
    <i>
      <x v="19"/>
    </i>
    <i>
      <x v="20"/>
    </i>
    <i>
      <x v="21"/>
    </i>
    <i>
      <x v="22"/>
    </i>
    <i t="grand">
      <x/>
    </i>
  </rowItems>
  <colItems count="1">
    <i/>
  </colItems>
  <dataFields count="1">
    <dataField name="Average of Rating" fld="6"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7EDF25-6865-4ED5-A9C0-1D34AFD6FF3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9:D30" firstHeaderRow="1" firstDataRow="1" firstDataCol="0"/>
  <pivotFields count="11">
    <pivotField showAll="0"/>
    <pivotField showAll="0"/>
    <pivotField showAll="0"/>
    <pivotField numFmtId="3" showAll="0"/>
    <pivotField numFmtId="9" showAll="0"/>
    <pivotField dataField="1" showAll="0"/>
    <pivotField showAll="0"/>
    <pivotField showAll="0">
      <items count="5">
        <item x="0"/>
        <item x="1"/>
        <item x="2"/>
        <item x="3"/>
        <item t="default"/>
      </items>
    </pivotField>
    <pivotField showAll="0">
      <items count="4">
        <item x="1"/>
        <item x="2"/>
        <item x="0"/>
        <item t="default"/>
      </items>
    </pivotField>
    <pivotField showAll="0">
      <items count="4">
        <item x="0"/>
        <item x="2"/>
        <item x="1"/>
        <item t="default"/>
      </items>
    </pivotField>
    <pivotField showAll="0">
      <items count="4">
        <item x="2"/>
        <item x="0"/>
        <item x="1"/>
        <item t="default"/>
      </items>
    </pivotField>
  </pivotFields>
  <rowItems count="1">
    <i/>
  </rowItems>
  <colItems count="1">
    <i/>
  </colItems>
  <dataFields count="1">
    <dataField name="Average of Review"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91880D-1A04-42AD-9144-47DB01AE4E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1">
    <pivotField showAll="0"/>
    <pivotField showAll="0"/>
    <pivotField showAll="0"/>
    <pivotField numFmtId="3" showAll="0"/>
    <pivotField numFmtId="9" showAll="0"/>
    <pivotField dataField="1" showAll="0"/>
    <pivotField showAll="0"/>
    <pivotField showAll="0">
      <items count="5">
        <item x="0"/>
        <item x="1"/>
        <item x="2"/>
        <item x="3"/>
        <item t="default"/>
      </items>
    </pivotField>
    <pivotField showAll="0">
      <items count="4">
        <item x="1"/>
        <item x="2"/>
        <item x="0"/>
        <item t="default"/>
      </items>
    </pivotField>
    <pivotField showAll="0">
      <items count="4">
        <item x="0"/>
        <item x="2"/>
        <item x="1"/>
        <item t="default"/>
      </items>
    </pivotField>
    <pivotField axis="axisRow" showAll="0">
      <items count="4">
        <item x="2"/>
        <item x="0"/>
        <item x="1"/>
        <item t="default"/>
      </items>
    </pivotField>
  </pivotFields>
  <rowFields count="1">
    <field x="10"/>
  </rowFields>
  <rowItems count="4">
    <i>
      <x/>
    </i>
    <i>
      <x v="1"/>
    </i>
    <i>
      <x v="2"/>
    </i>
    <i t="grand">
      <x/>
    </i>
  </rowItems>
  <colFields count="1">
    <field x="-2"/>
  </colFields>
  <colItems count="2">
    <i>
      <x/>
    </i>
    <i i="1">
      <x v="1"/>
    </i>
  </colItems>
  <dataFields count="2">
    <dataField name="Count of Review" fld="5" subtotal="count" baseField="0" baseItem="0"/>
    <dataField name="Average of Review2"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F4D25F3C-EB35-4A7F-870A-21D4BE856348}" sourceName="Rating category">
  <pivotTables>
    <pivotTable tabId="4" name="PivotTable1"/>
    <pivotTable tabId="4" name="PivotTable4"/>
    <pivotTable tabId="4" name="PivotTable5"/>
    <pivotTable tabId="4" name="PivotTable6"/>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s>
  <data>
    <tabular pivotCacheId="126362334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A6F3A8AC-F971-4ED9-A7CD-F21B6A6ECE0A}" sourceName="Price category">
  <pivotTables>
    <pivotTable tabId="4" name="PivotTable1"/>
    <pivotTable tabId="4" name="PivotTable4"/>
    <pivotTable tabId="4" name="PivotTable5"/>
    <pivotTable tabId="4" name="PivotTable6"/>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s>
  <data>
    <tabular pivotCacheId="126362334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category" xr10:uid="{A98EC57E-6AE8-4D50-9157-23738156738A}" sourceName="Review category">
  <pivotTables>
    <pivotTable tabId="4" name="PivotTable1"/>
    <pivotTable tabId="4" name="PivotTable4"/>
    <pivotTable tabId="4" name="PivotTable5"/>
    <pivotTable tabId="4" name="PivotTable6"/>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s>
  <data>
    <tabular pivotCacheId="126362334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23190028-5E08-480B-B095-38DE90B769E9}" cache="Slicer_Rating_category" caption="Rating category" rowHeight="241300"/>
  <slicer name="Price category" xr10:uid="{9F5E9105-7F78-4075-9998-C7533EF3045D}" cache="Slicer_Price_category" caption="Price category" rowHeight="241300"/>
  <slicer name="Review category" xr10:uid="{0393F554-B9C6-4CE9-A8B9-859DF1DFC8E7}" cache="Slicer_Review_category" caption="Review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E36B3C-589E-42FC-8154-5F0964E90D3B}" name="Table1" displayName="Table1" ref="A1:K116" totalsRowShown="0">
  <autoFilter ref="A1:K116" xr:uid="{D5E36B3C-589E-42FC-8154-5F0964E90D3B}"/>
  <tableColumns count="11">
    <tableColumn id="1" xr3:uid="{8831EC3C-105A-427E-AA3B-D69635EF2CBB}" name="Product"/>
    <tableColumn id="2" xr3:uid="{5D89603D-D835-4CE5-9BA6-AF14267EF255}" name="Current price"/>
    <tableColumn id="3" xr3:uid="{899F54E1-6F7C-4372-92B7-6BED3D87C831}" name="old price"/>
    <tableColumn id="4" xr3:uid="{6A2761F5-C81E-45C3-A978-1DDE37EBCFD4}" name="Disount amount" dataDxfId="3"/>
    <tableColumn id="5" xr3:uid="{4EA88949-7ECF-4390-A1C0-62618B254411}" name="Discount" dataDxfId="2"/>
    <tableColumn id="6" xr3:uid="{798F45C0-1B3B-4F9D-9FAE-A0DA88E2D94D}" name="Review"/>
    <tableColumn id="7" xr3:uid="{7248D14C-F6CB-4783-9CB7-DC5736C6D9E8}" name="Rating"/>
    <tableColumn id="8" xr3:uid="{0D49604C-F3A9-4424-9EC0-B76FF99BCAF8}" name="Rating category">
      <calculatedColumnFormula>IF(G2=0,"no rating",IF(G2&lt;3,"poor",IF(G2&lt;=4.5,"average","excellent")))</calculatedColumnFormula>
    </tableColumn>
    <tableColumn id="9" xr3:uid="{BEC40421-5B4D-4D6D-98BC-3AA4DE941149}" name="Review category">
      <calculatedColumnFormula>IF(E2&lt;20%,"low",IF(E2&lt;=40%,"medium","high"))</calculatedColumnFormula>
    </tableColumn>
    <tableColumn id="10" xr3:uid="{A9E7A193-07D3-407F-8579-FC6D32CA68BC}" name="Price category" dataDxfId="1">
      <calculatedColumnFormula>IF(Table1[[#This Row],[Current price]]&lt;1000,"Budget",IF(Table1[[#This Row],[Current price]]&lt;=2000,"mid_range","premium"))</calculatedColumnFormula>
    </tableColumn>
    <tableColumn id="11" xr3:uid="{D55AB64E-C6E1-4646-A8AF-27DA42A19FAF}" name="Discoungt category" dataDxfId="0">
      <calculatedColumnFormula>IF(Table1[[#This Row],[Disount amount]]&lt;1000,"low discount",IF(Table1[[#This Row],[Disount amount]]&lt;=2000,"medium discount","high discount"))</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61455-A28C-4CDB-A71A-7F7976637439}">
  <dimension ref="A1:F116"/>
  <sheetViews>
    <sheetView workbookViewId="0"/>
  </sheetViews>
  <sheetFormatPr defaultRowHeight="15" x14ac:dyDescent="0.25"/>
  <sheetData>
    <row r="1" spans="1:6" x14ac:dyDescent="0.25">
      <c r="A1" t="s">
        <v>0</v>
      </c>
      <c r="B1" t="s">
        <v>1</v>
      </c>
      <c r="C1" t="s">
        <v>2</v>
      </c>
      <c r="D1" t="s">
        <v>3</v>
      </c>
      <c r="E1" t="s">
        <v>4</v>
      </c>
      <c r="F1"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row>
    <row r="42" spans="1:6" x14ac:dyDescent="0.25">
      <c r="A42" t="s">
        <v>131</v>
      </c>
      <c r="B42" t="s">
        <v>132</v>
      </c>
      <c r="C42" t="s">
        <v>133</v>
      </c>
      <c r="D42" s="1">
        <v>0.49</v>
      </c>
    </row>
    <row r="43" spans="1:6" x14ac:dyDescent="0.25">
      <c r="A43" t="s">
        <v>134</v>
      </c>
      <c r="B43" t="s">
        <v>135</v>
      </c>
      <c r="C43" t="s">
        <v>136</v>
      </c>
      <c r="D43" s="1">
        <v>0.5</v>
      </c>
    </row>
    <row r="44" spans="1:6" x14ac:dyDescent="0.25">
      <c r="A44" t="s">
        <v>137</v>
      </c>
      <c r="B44" t="s">
        <v>138</v>
      </c>
      <c r="C44" t="s">
        <v>139</v>
      </c>
      <c r="D44" s="1">
        <v>0.42</v>
      </c>
    </row>
    <row r="45" spans="1:6" x14ac:dyDescent="0.25">
      <c r="A45" t="s">
        <v>137</v>
      </c>
      <c r="B45" t="s">
        <v>138</v>
      </c>
      <c r="C45" t="s">
        <v>139</v>
      </c>
      <c r="D45" s="1">
        <v>0.42</v>
      </c>
    </row>
    <row r="46" spans="1:6" x14ac:dyDescent="0.25">
      <c r="A46" t="s">
        <v>140</v>
      </c>
      <c r="B46" t="s">
        <v>141</v>
      </c>
      <c r="C46" t="s">
        <v>142</v>
      </c>
      <c r="D46" s="1">
        <v>0.02</v>
      </c>
    </row>
    <row r="47" spans="1:6" x14ac:dyDescent="0.25">
      <c r="A47" t="s">
        <v>143</v>
      </c>
      <c r="B47" t="s">
        <v>12</v>
      </c>
      <c r="C47" t="s">
        <v>144</v>
      </c>
      <c r="D47" s="1">
        <v>0.5</v>
      </c>
    </row>
    <row r="48" spans="1:6" x14ac:dyDescent="0.25">
      <c r="A48" t="s">
        <v>145</v>
      </c>
      <c r="B48" t="s">
        <v>146</v>
      </c>
      <c r="C48" t="s">
        <v>147</v>
      </c>
      <c r="D48" s="1">
        <v>0.33</v>
      </c>
    </row>
    <row r="49" spans="1:6" x14ac:dyDescent="0.25">
      <c r="A49" t="s">
        <v>148</v>
      </c>
      <c r="B49" t="s">
        <v>149</v>
      </c>
      <c r="C49" t="s">
        <v>150</v>
      </c>
      <c r="D49" s="1">
        <v>0.49</v>
      </c>
    </row>
    <row r="50" spans="1:6" x14ac:dyDescent="0.25">
      <c r="A50" t="s">
        <v>151</v>
      </c>
      <c r="B50" t="s">
        <v>152</v>
      </c>
      <c r="C50" t="s">
        <v>153</v>
      </c>
      <c r="D50" s="1">
        <v>0.38</v>
      </c>
    </row>
    <row r="51" spans="1:6" x14ac:dyDescent="0.25">
      <c r="A51" t="s">
        <v>154</v>
      </c>
      <c r="B51" t="s">
        <v>155</v>
      </c>
      <c r="C51" t="s">
        <v>156</v>
      </c>
      <c r="D51" s="1">
        <v>0.61</v>
      </c>
    </row>
    <row r="52" spans="1:6" x14ac:dyDescent="0.25">
      <c r="A52" t="s">
        <v>157</v>
      </c>
      <c r="B52" t="s">
        <v>158</v>
      </c>
      <c r="C52" t="s">
        <v>159</v>
      </c>
      <c r="D52" s="1">
        <v>0.5</v>
      </c>
    </row>
    <row r="53" spans="1:6" x14ac:dyDescent="0.25">
      <c r="A53" t="s">
        <v>160</v>
      </c>
      <c r="B53" t="s">
        <v>161</v>
      </c>
      <c r="C53" t="s">
        <v>162</v>
      </c>
      <c r="D53" s="1">
        <v>0.02</v>
      </c>
    </row>
    <row r="54" spans="1:6" x14ac:dyDescent="0.25">
      <c r="A54" t="s">
        <v>163</v>
      </c>
      <c r="B54" t="s">
        <v>158</v>
      </c>
      <c r="C54" t="s">
        <v>164</v>
      </c>
      <c r="D54" s="1">
        <v>0.22</v>
      </c>
    </row>
    <row r="55" spans="1:6" x14ac:dyDescent="0.25">
      <c r="A55" t="s">
        <v>165</v>
      </c>
      <c r="B55" t="s">
        <v>166</v>
      </c>
      <c r="C55" t="s">
        <v>167</v>
      </c>
      <c r="D55" s="1">
        <v>0.03</v>
      </c>
    </row>
    <row r="56" spans="1:6" x14ac:dyDescent="0.25">
      <c r="A56" t="s">
        <v>168</v>
      </c>
      <c r="B56" t="s">
        <v>43</v>
      </c>
      <c r="C56" t="s">
        <v>169</v>
      </c>
      <c r="D56" s="1">
        <v>0.41</v>
      </c>
    </row>
    <row r="57" spans="1:6" x14ac:dyDescent="0.25">
      <c r="A57" t="s">
        <v>170</v>
      </c>
      <c r="B57" t="s">
        <v>171</v>
      </c>
      <c r="C57" t="s">
        <v>172</v>
      </c>
      <c r="D57" s="1">
        <v>0.45</v>
      </c>
    </row>
    <row r="58" spans="1:6" x14ac:dyDescent="0.25">
      <c r="A58" t="s">
        <v>173</v>
      </c>
      <c r="B58" t="s">
        <v>174</v>
      </c>
      <c r="C58" t="s">
        <v>169</v>
      </c>
      <c r="D58" s="1">
        <v>0.48</v>
      </c>
    </row>
    <row r="59" spans="1:6" x14ac:dyDescent="0.25">
      <c r="A59" t="s">
        <v>175</v>
      </c>
      <c r="B59" t="s">
        <v>43</v>
      </c>
      <c r="C59" t="s">
        <v>176</v>
      </c>
      <c r="D59" s="1">
        <v>0.49</v>
      </c>
    </row>
    <row r="60" spans="1:6" x14ac:dyDescent="0.25">
      <c r="A60" t="s">
        <v>177</v>
      </c>
      <c r="B60" t="s">
        <v>178</v>
      </c>
      <c r="C60" t="s">
        <v>179</v>
      </c>
      <c r="D60" s="1">
        <v>0.27</v>
      </c>
    </row>
    <row r="61" spans="1:6" x14ac:dyDescent="0.25">
      <c r="A61" t="s">
        <v>170</v>
      </c>
      <c r="B61" t="s">
        <v>180</v>
      </c>
      <c r="C61" t="s">
        <v>181</v>
      </c>
      <c r="D61" s="1">
        <v>0.55000000000000004</v>
      </c>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row>
    <row r="78" spans="1:6" x14ac:dyDescent="0.25">
      <c r="A78" t="s">
        <v>235</v>
      </c>
      <c r="B78" t="s">
        <v>236</v>
      </c>
      <c r="C78" t="s">
        <v>152</v>
      </c>
      <c r="D78" s="1">
        <v>0.43</v>
      </c>
    </row>
    <row r="79" spans="1:6" x14ac:dyDescent="0.25">
      <c r="A79" t="s">
        <v>237</v>
      </c>
      <c r="B79" t="s">
        <v>238</v>
      </c>
      <c r="C79" t="s">
        <v>239</v>
      </c>
      <c r="D79" s="1">
        <v>0.04</v>
      </c>
    </row>
    <row r="80" spans="1:6" x14ac:dyDescent="0.25">
      <c r="A80" t="s">
        <v>240</v>
      </c>
      <c r="B80" t="s">
        <v>241</v>
      </c>
      <c r="C80" t="s">
        <v>242</v>
      </c>
      <c r="D80" s="1">
        <v>0.49</v>
      </c>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row>
    <row r="84" spans="1:6" x14ac:dyDescent="0.25">
      <c r="A84" t="s">
        <v>251</v>
      </c>
      <c r="B84" t="s">
        <v>252</v>
      </c>
      <c r="C84" t="s">
        <v>162</v>
      </c>
      <c r="D84" s="1">
        <v>0.02</v>
      </c>
    </row>
    <row r="85" spans="1:6" x14ac:dyDescent="0.25">
      <c r="A85" t="s">
        <v>253</v>
      </c>
      <c r="B85" t="s">
        <v>254</v>
      </c>
      <c r="C85" t="s">
        <v>91</v>
      </c>
      <c r="D85" s="1">
        <v>0.49</v>
      </c>
      <c r="E85">
        <v>-1</v>
      </c>
      <c r="F85" t="s">
        <v>29</v>
      </c>
    </row>
    <row r="86" spans="1:6" x14ac:dyDescent="0.25">
      <c r="A86" t="s">
        <v>137</v>
      </c>
      <c r="B86" t="s">
        <v>138</v>
      </c>
      <c r="C86" t="s">
        <v>139</v>
      </c>
      <c r="D86" s="1">
        <v>0.42</v>
      </c>
    </row>
    <row r="87" spans="1:6" x14ac:dyDescent="0.25">
      <c r="A87" t="s">
        <v>154</v>
      </c>
      <c r="B87" t="s">
        <v>255</v>
      </c>
      <c r="C87" t="s">
        <v>222</v>
      </c>
      <c r="D87" s="1">
        <v>0.49</v>
      </c>
    </row>
    <row r="88" spans="1:6" x14ac:dyDescent="0.25">
      <c r="A88" t="s">
        <v>256</v>
      </c>
      <c r="B88" t="s">
        <v>257</v>
      </c>
      <c r="C88" t="s">
        <v>162</v>
      </c>
      <c r="D88" s="1">
        <v>0.14000000000000001</v>
      </c>
    </row>
    <row r="89" spans="1:6" x14ac:dyDescent="0.25">
      <c r="A89" t="s">
        <v>258</v>
      </c>
      <c r="B89" t="s">
        <v>259</v>
      </c>
      <c r="C89" t="s">
        <v>260</v>
      </c>
      <c r="D89" s="1">
        <v>0.49</v>
      </c>
    </row>
    <row r="90" spans="1:6" x14ac:dyDescent="0.25">
      <c r="A90" t="s">
        <v>261</v>
      </c>
      <c r="B90" t="s">
        <v>43</v>
      </c>
      <c r="C90" t="s">
        <v>172</v>
      </c>
      <c r="D90" s="1">
        <v>0.11</v>
      </c>
    </row>
    <row r="91" spans="1:6" x14ac:dyDescent="0.25">
      <c r="A91" t="s">
        <v>175</v>
      </c>
      <c r="B91" t="s">
        <v>262</v>
      </c>
      <c r="C91" t="s">
        <v>263</v>
      </c>
      <c r="D91" s="1">
        <v>0.49</v>
      </c>
    </row>
    <row r="92" spans="1:6" x14ac:dyDescent="0.25">
      <c r="A92" t="s">
        <v>264</v>
      </c>
      <c r="B92" t="s">
        <v>265</v>
      </c>
      <c r="C92" t="s">
        <v>162</v>
      </c>
      <c r="D92" s="1">
        <v>0.14000000000000001</v>
      </c>
    </row>
    <row r="93" spans="1:6" x14ac:dyDescent="0.25">
      <c r="A93" t="s">
        <v>266</v>
      </c>
      <c r="B93" t="s">
        <v>267</v>
      </c>
      <c r="C93" t="s">
        <v>268</v>
      </c>
      <c r="D93" s="1">
        <v>0.43</v>
      </c>
    </row>
    <row r="94" spans="1:6" x14ac:dyDescent="0.25">
      <c r="A94" t="s">
        <v>269</v>
      </c>
      <c r="B94" t="s">
        <v>270</v>
      </c>
      <c r="C94" t="s">
        <v>271</v>
      </c>
      <c r="D94" s="1">
        <v>0.5</v>
      </c>
    </row>
    <row r="95" spans="1:6" x14ac:dyDescent="0.25">
      <c r="A95" t="s">
        <v>272</v>
      </c>
      <c r="B95" t="s">
        <v>273</v>
      </c>
      <c r="C95" t="s">
        <v>184</v>
      </c>
      <c r="D95" s="1">
        <v>0.48</v>
      </c>
    </row>
    <row r="96" spans="1:6" x14ac:dyDescent="0.25">
      <c r="A96" t="s">
        <v>274</v>
      </c>
      <c r="B96" t="s">
        <v>275</v>
      </c>
      <c r="C96" t="s">
        <v>276</v>
      </c>
      <c r="D96" s="1">
        <v>0.48</v>
      </c>
    </row>
    <row r="97" spans="1:6" x14ac:dyDescent="0.25">
      <c r="A97" t="s">
        <v>277</v>
      </c>
      <c r="B97" t="s">
        <v>226</v>
      </c>
      <c r="C97" t="s">
        <v>162</v>
      </c>
      <c r="D97" s="1">
        <v>0.47</v>
      </c>
    </row>
    <row r="98" spans="1:6" x14ac:dyDescent="0.25">
      <c r="A98" t="s">
        <v>277</v>
      </c>
      <c r="B98" t="s">
        <v>226</v>
      </c>
      <c r="C98" t="s">
        <v>162</v>
      </c>
      <c r="D98" s="1">
        <v>0.47</v>
      </c>
    </row>
    <row r="99" spans="1:6" x14ac:dyDescent="0.25">
      <c r="A99" t="s">
        <v>278</v>
      </c>
      <c r="B99" t="s">
        <v>152</v>
      </c>
      <c r="C99" t="s">
        <v>279</v>
      </c>
      <c r="D99" s="1">
        <v>0.5</v>
      </c>
    </row>
    <row r="100" spans="1:6" x14ac:dyDescent="0.25">
      <c r="A100" t="s">
        <v>280</v>
      </c>
      <c r="B100" t="s">
        <v>281</v>
      </c>
      <c r="C100" t="s">
        <v>161</v>
      </c>
      <c r="D100" s="1">
        <v>0.08</v>
      </c>
    </row>
    <row r="101" spans="1:6" x14ac:dyDescent="0.25">
      <c r="A101" t="s">
        <v>282</v>
      </c>
      <c r="B101" t="s">
        <v>283</v>
      </c>
      <c r="C101" t="s">
        <v>167</v>
      </c>
      <c r="D101" s="1">
        <v>0.02</v>
      </c>
    </row>
    <row r="102" spans="1:6" x14ac:dyDescent="0.25">
      <c r="A102" t="s">
        <v>284</v>
      </c>
      <c r="B102" t="s">
        <v>285</v>
      </c>
      <c r="C102" t="s">
        <v>286</v>
      </c>
      <c r="D102" s="1">
        <v>0.49</v>
      </c>
    </row>
    <row r="103" spans="1:6" x14ac:dyDescent="0.25">
      <c r="A103" t="s">
        <v>287</v>
      </c>
      <c r="B103" t="s">
        <v>288</v>
      </c>
      <c r="C103" t="s">
        <v>67</v>
      </c>
      <c r="D103" s="1">
        <v>0.04</v>
      </c>
    </row>
    <row r="104" spans="1:6" x14ac:dyDescent="0.25">
      <c r="A104" t="s">
        <v>289</v>
      </c>
      <c r="B104" t="s">
        <v>290</v>
      </c>
      <c r="C104" t="s">
        <v>291</v>
      </c>
      <c r="D104" s="1">
        <v>0.49</v>
      </c>
    </row>
    <row r="105" spans="1:6" x14ac:dyDescent="0.25">
      <c r="A105" t="s">
        <v>292</v>
      </c>
      <c r="B105" t="s">
        <v>293</v>
      </c>
      <c r="C105" t="s">
        <v>294</v>
      </c>
      <c r="D105" s="1">
        <v>0.42</v>
      </c>
    </row>
    <row r="106" spans="1:6" x14ac:dyDescent="0.25">
      <c r="A106" t="s">
        <v>295</v>
      </c>
      <c r="B106" t="s">
        <v>296</v>
      </c>
      <c r="C106" t="s">
        <v>297</v>
      </c>
      <c r="D106" s="1">
        <v>0.21</v>
      </c>
      <c r="E106">
        <v>-1</v>
      </c>
      <c r="F106" t="s">
        <v>59</v>
      </c>
    </row>
    <row r="107" spans="1:6" x14ac:dyDescent="0.25">
      <c r="A107" t="s">
        <v>298</v>
      </c>
      <c r="B107" t="s">
        <v>299</v>
      </c>
      <c r="C107" t="s">
        <v>300</v>
      </c>
      <c r="D107" s="1">
        <v>0.41</v>
      </c>
    </row>
    <row r="108" spans="1:6" x14ac:dyDescent="0.25">
      <c r="A108" t="s">
        <v>301</v>
      </c>
      <c r="B108" t="s">
        <v>302</v>
      </c>
      <c r="C108" t="s">
        <v>303</v>
      </c>
      <c r="D108" s="1">
        <v>0.01</v>
      </c>
    </row>
    <row r="109" spans="1:6" x14ac:dyDescent="0.25">
      <c r="A109" t="s">
        <v>304</v>
      </c>
      <c r="B109" t="s">
        <v>305</v>
      </c>
      <c r="C109" t="s">
        <v>306</v>
      </c>
      <c r="D109" s="1">
        <v>0.24</v>
      </c>
    </row>
    <row r="110" spans="1:6" x14ac:dyDescent="0.25">
      <c r="A110" t="s">
        <v>307</v>
      </c>
      <c r="B110" t="s">
        <v>308</v>
      </c>
      <c r="C110" t="s">
        <v>309</v>
      </c>
      <c r="D110" s="1">
        <v>0.34</v>
      </c>
    </row>
    <row r="111" spans="1:6" x14ac:dyDescent="0.25">
      <c r="A111" t="s">
        <v>310</v>
      </c>
      <c r="B111" t="s">
        <v>146</v>
      </c>
      <c r="C111" t="s">
        <v>311</v>
      </c>
      <c r="D111" s="1">
        <v>0.34</v>
      </c>
    </row>
    <row r="112" spans="1:6" x14ac:dyDescent="0.25">
      <c r="A112" t="s">
        <v>312</v>
      </c>
      <c r="B112" t="s">
        <v>313</v>
      </c>
      <c r="C112" t="s">
        <v>162</v>
      </c>
      <c r="D112" s="1">
        <v>0.02</v>
      </c>
    </row>
    <row r="113" spans="1:6" x14ac:dyDescent="0.25">
      <c r="A113" t="s">
        <v>314</v>
      </c>
      <c r="B113" t="s">
        <v>315</v>
      </c>
      <c r="C113" t="s">
        <v>239</v>
      </c>
      <c r="D113" s="1">
        <v>0.02</v>
      </c>
    </row>
    <row r="114" spans="1:6" x14ac:dyDescent="0.25">
      <c r="A114" t="s">
        <v>316</v>
      </c>
      <c r="B114" t="s">
        <v>155</v>
      </c>
      <c r="C114" t="s">
        <v>317</v>
      </c>
      <c r="D114" s="1">
        <v>0.64</v>
      </c>
    </row>
    <row r="115" spans="1:6" x14ac:dyDescent="0.25">
      <c r="A115" t="s">
        <v>318</v>
      </c>
      <c r="B115" t="s">
        <v>242</v>
      </c>
      <c r="C115" t="s">
        <v>172</v>
      </c>
      <c r="D115" s="1">
        <v>0.5</v>
      </c>
      <c r="E115">
        <v>-1</v>
      </c>
      <c r="F115" t="s">
        <v>319</v>
      </c>
    </row>
    <row r="116" spans="1:6" x14ac:dyDescent="0.2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370BE-7C19-4D0D-BD9B-D46FF6E9033D}">
  <dimension ref="A1:N116"/>
  <sheetViews>
    <sheetView topLeftCell="H1" workbookViewId="0">
      <selection activeCell="Q13" sqref="Q13"/>
    </sheetView>
  </sheetViews>
  <sheetFormatPr defaultRowHeight="15" x14ac:dyDescent="0.25"/>
  <cols>
    <col min="1" max="1" width="95.7109375" bestFit="1" customWidth="1"/>
    <col min="2" max="3" width="19.42578125" bestFit="1" customWidth="1"/>
    <col min="4" max="4" width="19.42578125" customWidth="1"/>
    <col min="5" max="5" width="10.85546875" customWidth="1"/>
    <col min="6" max="6" width="9.7109375" customWidth="1"/>
    <col min="7" max="7" width="8.85546875" bestFit="1" customWidth="1"/>
    <col min="8" max="8" width="16.7109375" customWidth="1"/>
    <col min="9" max="9" width="17.7109375" customWidth="1"/>
    <col min="10" max="10" width="15.5703125" customWidth="1"/>
    <col min="11" max="11" width="21.140625" bestFit="1" customWidth="1"/>
    <col min="13" max="13" width="24.140625" bestFit="1" customWidth="1"/>
    <col min="14" max="14" width="18" customWidth="1"/>
  </cols>
  <sheetData>
    <row r="1" spans="1:14" x14ac:dyDescent="0.25">
      <c r="A1" t="s">
        <v>0</v>
      </c>
      <c r="B1" t="s">
        <v>1</v>
      </c>
      <c r="C1" t="s">
        <v>2</v>
      </c>
      <c r="D1" t="s">
        <v>324</v>
      </c>
      <c r="E1" t="s">
        <v>3</v>
      </c>
      <c r="F1" t="s">
        <v>4</v>
      </c>
      <c r="G1" t="s">
        <v>323</v>
      </c>
      <c r="H1" t="s">
        <v>325</v>
      </c>
      <c r="I1" t="s">
        <v>326</v>
      </c>
      <c r="J1" t="s">
        <v>327</v>
      </c>
      <c r="K1" t="s">
        <v>335</v>
      </c>
    </row>
    <row r="2" spans="1:14" x14ac:dyDescent="0.25">
      <c r="A2" t="s">
        <v>6</v>
      </c>
      <c r="B2">
        <v>950</v>
      </c>
      <c r="C2" s="2">
        <v>1525</v>
      </c>
      <c r="D2" s="2">
        <v>575</v>
      </c>
      <c r="E2" s="1">
        <v>0.38</v>
      </c>
      <c r="F2">
        <v>2</v>
      </c>
      <c r="G2">
        <v>4.5</v>
      </c>
      <c r="H2" t="str">
        <f>IF(G2=0,"no rating",IF(G2&lt;3,"poor",IF(G2&lt;=4.5,"average","excellent")))</f>
        <v>average</v>
      </c>
      <c r="I2" t="str">
        <f>IF(E2&lt;20%,"low",IF(E2&lt;=40%,"medium","high"))</f>
        <v>medium</v>
      </c>
      <c r="J2" t="str">
        <f>IF(Table1[[#This Row],[Current price]]&lt;1000,"Budget",IF(Table1[[#This Row],[Current price]]&lt;=2000,"mid_range","premium"))</f>
        <v>Budget</v>
      </c>
      <c r="K2" t="str">
        <f>IF(Table1[[#This Row],[Disount amount]]&lt;1000,"low discount",IF(Table1[[#This Row],[Disount amount]]&lt;=2000,"medium discount","high discount"))</f>
        <v>low discount</v>
      </c>
    </row>
    <row r="3" spans="1:14" x14ac:dyDescent="0.25">
      <c r="A3" t="s">
        <v>10</v>
      </c>
      <c r="B3">
        <v>527</v>
      </c>
      <c r="C3">
        <v>999</v>
      </c>
      <c r="D3" s="2">
        <v>472</v>
      </c>
      <c r="E3" s="1">
        <v>0.47</v>
      </c>
      <c r="F3">
        <v>14</v>
      </c>
      <c r="G3">
        <v>4.0999999999999996</v>
      </c>
      <c r="H3" t="str">
        <f t="shared" ref="H3:H66" si="0">IF(G3=0,"no rating",IF(G3&lt;3,"poor",IF(G3&lt;=4.5,"average","excellent")))</f>
        <v>average</v>
      </c>
      <c r="I3" t="str">
        <f t="shared" ref="I3:I66" si="1">IF(E3&lt;20%,"low",IF(E3&lt;=40%,"medium","high"))</f>
        <v>high</v>
      </c>
      <c r="J3" t="str">
        <f>IF(Table1[[#This Row],[Current price]]&lt;1000,"Budget",IF(Table1[[#This Row],[Current price]]&lt;=2000,"mid_range","premium"))</f>
        <v>Budget</v>
      </c>
      <c r="K3" t="str">
        <f>IF(Table1[[#This Row],[Disount amount]]&lt;1000,"low discount",IF(Table1[[#This Row],[Disount amount]]&lt;=2000,"medium discount","high discount"))</f>
        <v>low discount</v>
      </c>
    </row>
    <row r="4" spans="1:14" ht="15.75" x14ac:dyDescent="0.25">
      <c r="A4" t="s">
        <v>14</v>
      </c>
      <c r="B4" s="2">
        <v>2199</v>
      </c>
      <c r="C4" s="2">
        <v>2923</v>
      </c>
      <c r="D4" s="2">
        <v>724</v>
      </c>
      <c r="E4" s="1">
        <v>0.25</v>
      </c>
      <c r="F4">
        <v>24</v>
      </c>
      <c r="G4">
        <v>4.5999999999999996</v>
      </c>
      <c r="H4" t="str">
        <f t="shared" si="0"/>
        <v>excellent</v>
      </c>
      <c r="I4" t="str">
        <f t="shared" si="1"/>
        <v>medium</v>
      </c>
      <c r="J4" t="str">
        <f>IF(Table1[[#This Row],[Current price]]&lt;1000,"Budget",IF(Table1[[#This Row],[Current price]]&lt;=2000,"mid_range","premium"))</f>
        <v>premium</v>
      </c>
      <c r="K4" t="str">
        <f>IF(Table1[[#This Row],[Disount amount]]&lt;1000,"low discount",IF(Table1[[#This Row],[Disount amount]]&lt;=2000,"medium discount","high discount"))</f>
        <v>low discount</v>
      </c>
      <c r="M4" s="7" t="s">
        <v>345</v>
      </c>
      <c r="N4" s="8">
        <f>COUNTA(Table1[Product])</f>
        <v>115</v>
      </c>
    </row>
    <row r="5" spans="1:14" ht="15.75" x14ac:dyDescent="0.25">
      <c r="A5" t="s">
        <v>18</v>
      </c>
      <c r="B5" s="2">
        <v>1580</v>
      </c>
      <c r="C5" s="2">
        <v>2499</v>
      </c>
      <c r="D5" s="2">
        <v>919</v>
      </c>
      <c r="E5" s="1">
        <v>0.37</v>
      </c>
      <c r="F5">
        <v>7</v>
      </c>
      <c r="G5">
        <v>4.7</v>
      </c>
      <c r="H5" t="str">
        <f t="shared" si="0"/>
        <v>excellent</v>
      </c>
      <c r="I5" t="str">
        <f t="shared" si="1"/>
        <v>medium</v>
      </c>
      <c r="J5" t="str">
        <f>IF(Table1[[#This Row],[Current price]]&lt;1000,"Budget",IF(Table1[[#This Row],[Current price]]&lt;=2000,"mid_range","premium"))</f>
        <v>mid_range</v>
      </c>
      <c r="K5" t="str">
        <f>IF(Table1[[#This Row],[Disount amount]]&lt;1000,"low discount",IF(Table1[[#This Row],[Disount amount]]&lt;=2000,"medium discount","high discount"))</f>
        <v>low discount</v>
      </c>
      <c r="N5" s="9"/>
    </row>
    <row r="6" spans="1:14" ht="15.75" x14ac:dyDescent="0.25">
      <c r="A6" t="s">
        <v>22</v>
      </c>
      <c r="B6" s="2">
        <v>1740</v>
      </c>
      <c r="C6" s="2">
        <v>2356</v>
      </c>
      <c r="D6" s="2">
        <v>616</v>
      </c>
      <c r="E6" s="1">
        <v>0.26</v>
      </c>
      <c r="F6">
        <v>5</v>
      </c>
      <c r="G6">
        <v>4.8</v>
      </c>
      <c r="H6" t="str">
        <f t="shared" si="0"/>
        <v>excellent</v>
      </c>
      <c r="I6" t="str">
        <f t="shared" si="1"/>
        <v>medium</v>
      </c>
      <c r="J6" t="str">
        <f>IF(Table1[[#This Row],[Current price]]&lt;1000,"Budget",IF(Table1[[#This Row],[Current price]]&lt;=2000,"mid_range","premium"))</f>
        <v>mid_range</v>
      </c>
      <c r="K6" t="str">
        <f>IF(Table1[[#This Row],[Disount amount]]&lt;1000,"low discount",IF(Table1[[#This Row],[Disount amount]]&lt;=2000,"medium discount","high discount"))</f>
        <v>low discount</v>
      </c>
      <c r="M6" s="7" t="s">
        <v>346</v>
      </c>
      <c r="N6" s="8">
        <f>COUNTA(Table1[Review])</f>
        <v>115</v>
      </c>
    </row>
    <row r="7" spans="1:14" ht="15.75" x14ac:dyDescent="0.25">
      <c r="A7" t="s">
        <v>26</v>
      </c>
      <c r="B7" s="2">
        <v>2999</v>
      </c>
      <c r="C7" s="2">
        <v>3290</v>
      </c>
      <c r="D7" s="2">
        <v>291</v>
      </c>
      <c r="E7" s="1">
        <v>0.09</v>
      </c>
      <c r="F7">
        <v>15</v>
      </c>
      <c r="G7">
        <v>4</v>
      </c>
      <c r="H7" t="str">
        <f t="shared" si="0"/>
        <v>average</v>
      </c>
      <c r="I7" t="str">
        <f t="shared" si="1"/>
        <v>low</v>
      </c>
      <c r="J7" t="str">
        <f>IF(Table1[[#This Row],[Current price]]&lt;1000,"Budget",IF(Table1[[#This Row],[Current price]]&lt;=2000,"mid_range","premium"))</f>
        <v>premium</v>
      </c>
      <c r="K7" t="str">
        <f>IF(Table1[[#This Row],[Disount amount]]&lt;1000,"low discount",IF(Table1[[#This Row],[Disount amount]]&lt;=2000,"medium discount","high discount"))</f>
        <v>low discount</v>
      </c>
      <c r="N7" s="9"/>
    </row>
    <row r="8" spans="1:14" ht="15.75" x14ac:dyDescent="0.25">
      <c r="A8" t="s">
        <v>30</v>
      </c>
      <c r="B8" s="2">
        <v>2319</v>
      </c>
      <c r="C8" s="2">
        <v>3032</v>
      </c>
      <c r="D8" s="2">
        <v>713</v>
      </c>
      <c r="E8" s="1">
        <v>0.24</v>
      </c>
      <c r="F8">
        <v>55</v>
      </c>
      <c r="G8">
        <v>4.5999999999999996</v>
      </c>
      <c r="H8" t="str">
        <f t="shared" si="0"/>
        <v>excellent</v>
      </c>
      <c r="I8" t="str">
        <f t="shared" si="1"/>
        <v>medium</v>
      </c>
      <c r="J8" t="str">
        <f>IF(Table1[[#This Row],[Current price]]&lt;1000,"Budget",IF(Table1[[#This Row],[Current price]]&lt;=2000,"mid_range","premium"))</f>
        <v>premium</v>
      </c>
      <c r="K8" t="str">
        <f>IF(Table1[[#This Row],[Disount amount]]&lt;1000,"low discount",IF(Table1[[#This Row],[Disount amount]]&lt;=2000,"medium discount","high discount"))</f>
        <v>low discount</v>
      </c>
      <c r="M8" s="7" t="s">
        <v>347</v>
      </c>
      <c r="N8" s="8">
        <f>AVERAGE(Table1[Current price])</f>
        <v>1175.9217391304348</v>
      </c>
    </row>
    <row r="9" spans="1:14" ht="15.75" x14ac:dyDescent="0.25">
      <c r="A9" t="s">
        <v>33</v>
      </c>
      <c r="B9">
        <v>988</v>
      </c>
      <c r="C9" s="2">
        <v>1580</v>
      </c>
      <c r="D9" s="2">
        <v>592</v>
      </c>
      <c r="E9" s="1">
        <v>0.37</v>
      </c>
      <c r="F9">
        <v>2</v>
      </c>
      <c r="G9">
        <v>4</v>
      </c>
      <c r="H9" t="str">
        <f t="shared" si="0"/>
        <v>average</v>
      </c>
      <c r="I9" t="str">
        <f t="shared" si="1"/>
        <v>medium</v>
      </c>
      <c r="J9" t="str">
        <f>IF(Table1[[#This Row],[Current price]]&lt;1000,"Budget",IF(Table1[[#This Row],[Current price]]&lt;=2000,"mid_range","premium"))</f>
        <v>Budget</v>
      </c>
      <c r="K9" t="str">
        <f>IF(Table1[[#This Row],[Disount amount]]&lt;1000,"low discount",IF(Table1[[#This Row],[Disount amount]]&lt;=2000,"medium discount","high discount"))</f>
        <v>low discount</v>
      </c>
      <c r="N9" s="9"/>
    </row>
    <row r="10" spans="1:14" ht="15.75" x14ac:dyDescent="0.25">
      <c r="A10" t="s">
        <v>35</v>
      </c>
      <c r="B10" s="2">
        <v>1274</v>
      </c>
      <c r="C10" s="2">
        <v>2800</v>
      </c>
      <c r="D10" s="2">
        <v>1526</v>
      </c>
      <c r="E10" s="1">
        <v>0.55000000000000004</v>
      </c>
      <c r="F10">
        <v>5</v>
      </c>
      <c r="G10">
        <v>4.8</v>
      </c>
      <c r="H10" t="str">
        <f t="shared" si="0"/>
        <v>excellent</v>
      </c>
      <c r="I10" t="str">
        <f t="shared" si="1"/>
        <v>high</v>
      </c>
      <c r="J10" t="str">
        <f>IF(Table1[[#This Row],[Current price]]&lt;1000,"Budget",IF(Table1[[#This Row],[Current price]]&lt;=2000,"mid_range","premium"))</f>
        <v>mid_range</v>
      </c>
      <c r="K10" t="str">
        <f>IF(Table1[[#This Row],[Disount amount]]&lt;1000,"low discount",IF(Table1[[#This Row],[Disount amount]]&lt;=2000,"medium discount","high discount"))</f>
        <v>medium discount</v>
      </c>
      <c r="M10" s="7" t="s">
        <v>348</v>
      </c>
      <c r="N10" s="8">
        <f>AVERAGE(Table1[old price])</f>
        <v>1801.4173913043478</v>
      </c>
    </row>
    <row r="11" spans="1:14" ht="15.75" x14ac:dyDescent="0.25">
      <c r="A11" t="s">
        <v>38</v>
      </c>
      <c r="B11" s="2">
        <v>1600</v>
      </c>
      <c r="C11" s="2">
        <v>2929</v>
      </c>
      <c r="D11" s="2">
        <v>1329</v>
      </c>
      <c r="E11" s="1">
        <v>0.45</v>
      </c>
      <c r="F11">
        <v>5</v>
      </c>
      <c r="G11">
        <v>3.8</v>
      </c>
      <c r="H11" t="str">
        <f t="shared" si="0"/>
        <v>average</v>
      </c>
      <c r="I11" t="str">
        <f t="shared" si="1"/>
        <v>high</v>
      </c>
      <c r="J11" t="str">
        <f>IF(Table1[[#This Row],[Current price]]&lt;1000,"Budget",IF(Table1[[#This Row],[Current price]]&lt;=2000,"mid_range","premium"))</f>
        <v>mid_range</v>
      </c>
      <c r="K11" t="str">
        <f>IF(Table1[[#This Row],[Disount amount]]&lt;1000,"low discount",IF(Table1[[#This Row],[Disount amount]]&lt;=2000,"medium discount","high discount"))</f>
        <v>medium discount</v>
      </c>
      <c r="N11" s="9"/>
    </row>
    <row r="12" spans="1:14" ht="15.75" x14ac:dyDescent="0.25">
      <c r="A12" t="s">
        <v>42</v>
      </c>
      <c r="B12">
        <v>799</v>
      </c>
      <c r="C12">
        <v>999</v>
      </c>
      <c r="D12" s="2">
        <v>200</v>
      </c>
      <c r="E12" s="1">
        <v>0.2</v>
      </c>
      <c r="F12">
        <v>12</v>
      </c>
      <c r="G12">
        <v>4.0999999999999996</v>
      </c>
      <c r="H12" t="str">
        <f t="shared" si="0"/>
        <v>average</v>
      </c>
      <c r="I12" t="str">
        <f t="shared" si="1"/>
        <v>medium</v>
      </c>
      <c r="J12" t="str">
        <f>IF(Table1[[#This Row],[Current price]]&lt;1000,"Budget",IF(Table1[[#This Row],[Current price]]&lt;=2000,"mid_range","premium"))</f>
        <v>Budget</v>
      </c>
      <c r="K12" t="str">
        <f>IF(Table1[[#This Row],[Disount amount]]&lt;1000,"low discount",IF(Table1[[#This Row],[Disount amount]]&lt;=2000,"medium discount","high discount"))</f>
        <v>low discount</v>
      </c>
      <c r="M12" s="7" t="s">
        <v>349</v>
      </c>
      <c r="N12" s="8">
        <f>AVERAGE(Table1[Discount])</f>
        <v>0.36956521739130432</v>
      </c>
    </row>
    <row r="13" spans="1:14" ht="15.75" x14ac:dyDescent="0.25">
      <c r="A13" t="s">
        <v>44</v>
      </c>
      <c r="B13">
        <v>990</v>
      </c>
      <c r="C13" s="2">
        <v>1500</v>
      </c>
      <c r="D13" s="2">
        <v>510</v>
      </c>
      <c r="E13" s="1">
        <v>0.34</v>
      </c>
      <c r="F13">
        <v>39</v>
      </c>
      <c r="G13">
        <v>4.7</v>
      </c>
      <c r="H13" t="str">
        <f t="shared" si="0"/>
        <v>excellent</v>
      </c>
      <c r="I13" t="str">
        <f t="shared" si="1"/>
        <v>medium</v>
      </c>
      <c r="J13" t="str">
        <f>IF(Table1[[#This Row],[Current price]]&lt;1000,"Budget",IF(Table1[[#This Row],[Current price]]&lt;=2000,"mid_range","premium"))</f>
        <v>Budget</v>
      </c>
      <c r="K13" t="str">
        <f>IF(Table1[[#This Row],[Disount amount]]&lt;1000,"low discount",IF(Table1[[#This Row],[Disount amount]]&lt;=2000,"medium discount","high discount"))</f>
        <v>low discount</v>
      </c>
      <c r="N13" s="9"/>
    </row>
    <row r="14" spans="1:14" ht="15.75" x14ac:dyDescent="0.25">
      <c r="A14" t="s">
        <v>47</v>
      </c>
      <c r="B14">
        <v>552</v>
      </c>
      <c r="C14" s="2">
        <v>1035</v>
      </c>
      <c r="D14" s="2">
        <v>483</v>
      </c>
      <c r="E14" s="1">
        <v>0.47</v>
      </c>
      <c r="F14">
        <v>12</v>
      </c>
      <c r="G14">
        <v>4.8</v>
      </c>
      <c r="H14" t="str">
        <f t="shared" si="0"/>
        <v>excellent</v>
      </c>
      <c r="I14" t="str">
        <f t="shared" si="1"/>
        <v>high</v>
      </c>
      <c r="J14" t="str">
        <f>IF(Table1[[#This Row],[Current price]]&lt;1000,"Budget",IF(Table1[[#This Row],[Current price]]&lt;=2000,"mid_range","premium"))</f>
        <v>Budget</v>
      </c>
      <c r="K14" t="str">
        <f>IF(Table1[[#This Row],[Disount amount]]&lt;1000,"low discount",IF(Table1[[#This Row],[Disount amount]]&lt;=2000,"medium discount","high discount"))</f>
        <v>low discount</v>
      </c>
      <c r="M14" s="7" t="s">
        <v>350</v>
      </c>
      <c r="N14" s="8">
        <f>AVERAGE(Table1[Rating])</f>
        <v>1.9278260869565214</v>
      </c>
    </row>
    <row r="15" spans="1:14" ht="15.75" x14ac:dyDescent="0.25">
      <c r="A15" t="s">
        <v>50</v>
      </c>
      <c r="B15">
        <v>501</v>
      </c>
      <c r="C15">
        <v>860</v>
      </c>
      <c r="D15" s="2">
        <v>359</v>
      </c>
      <c r="E15" s="1">
        <v>0.42</v>
      </c>
      <c r="F15">
        <v>6</v>
      </c>
      <c r="G15">
        <v>4.5</v>
      </c>
      <c r="H15" t="str">
        <f t="shared" si="0"/>
        <v>average</v>
      </c>
      <c r="I15" t="str">
        <f t="shared" si="1"/>
        <v>high</v>
      </c>
      <c r="J15" t="str">
        <f>IF(Table1[[#This Row],[Current price]]&lt;1000,"Budget",IF(Table1[[#This Row],[Current price]]&lt;=2000,"mid_range","premium"))</f>
        <v>Budget</v>
      </c>
      <c r="K15" t="str">
        <f>IF(Table1[[#This Row],[Disount amount]]&lt;1000,"low discount",IF(Table1[[#This Row],[Disount amount]]&lt;=2000,"medium discount","high discount"))</f>
        <v>low discount</v>
      </c>
      <c r="N15" s="9"/>
    </row>
    <row r="16" spans="1:14" ht="15.75" x14ac:dyDescent="0.25">
      <c r="A16" t="s">
        <v>53</v>
      </c>
      <c r="B16" s="2">
        <v>1680</v>
      </c>
      <c r="C16" s="2">
        <v>2499</v>
      </c>
      <c r="D16" s="2">
        <v>819</v>
      </c>
      <c r="E16" s="1">
        <v>0.33</v>
      </c>
      <c r="F16">
        <v>9</v>
      </c>
      <c r="G16">
        <v>4.2</v>
      </c>
      <c r="H16" t="str">
        <f t="shared" si="0"/>
        <v>average</v>
      </c>
      <c r="I16" t="str">
        <f t="shared" si="1"/>
        <v>medium</v>
      </c>
      <c r="J16" t="str">
        <f>IF(Table1[[#This Row],[Current price]]&lt;1000,"Budget",IF(Table1[[#This Row],[Current price]]&lt;=2000,"mid_range","premium"))</f>
        <v>mid_range</v>
      </c>
      <c r="K16" t="str">
        <f>IF(Table1[[#This Row],[Disount amount]]&lt;1000,"low discount",IF(Table1[[#This Row],[Disount amount]]&lt;=2000,"medium discount","high discount"))</f>
        <v>low discount</v>
      </c>
      <c r="M16" s="7" t="s">
        <v>351</v>
      </c>
      <c r="N16" s="8">
        <f>MAX(Table1[Current price])</f>
        <v>3750</v>
      </c>
    </row>
    <row r="17" spans="1:14" ht="15.75" x14ac:dyDescent="0.25">
      <c r="A17" t="s">
        <v>56</v>
      </c>
      <c r="B17">
        <v>332</v>
      </c>
      <c r="C17">
        <v>684</v>
      </c>
      <c r="D17" s="2">
        <v>352</v>
      </c>
      <c r="E17" s="1">
        <v>0.51</v>
      </c>
      <c r="F17">
        <v>2</v>
      </c>
      <c r="G17">
        <v>5</v>
      </c>
      <c r="H17" t="str">
        <f t="shared" si="0"/>
        <v>excellent</v>
      </c>
      <c r="I17" t="str">
        <f t="shared" si="1"/>
        <v>high</v>
      </c>
      <c r="J17" t="str">
        <f>IF(Table1[[#This Row],[Current price]]&lt;1000,"Budget",IF(Table1[[#This Row],[Current price]]&lt;=2000,"mid_range","premium"))</f>
        <v>Budget</v>
      </c>
      <c r="K17" t="str">
        <f>IF(Table1[[#This Row],[Disount amount]]&lt;1000,"low discount",IF(Table1[[#This Row],[Disount amount]]&lt;=2000,"medium discount","high discount"))</f>
        <v>low discount</v>
      </c>
      <c r="N17" s="9"/>
    </row>
    <row r="18" spans="1:14" ht="15.75" x14ac:dyDescent="0.25">
      <c r="A18" t="s">
        <v>60</v>
      </c>
      <c r="B18">
        <v>195</v>
      </c>
      <c r="C18">
        <v>360</v>
      </c>
      <c r="D18" s="2">
        <v>165</v>
      </c>
      <c r="E18" s="1">
        <v>0.46</v>
      </c>
      <c r="F18">
        <v>2</v>
      </c>
      <c r="G18">
        <v>5</v>
      </c>
      <c r="H18" t="str">
        <f t="shared" si="0"/>
        <v>excellent</v>
      </c>
      <c r="I18" t="str">
        <f t="shared" si="1"/>
        <v>high</v>
      </c>
      <c r="J18" t="str">
        <f>IF(Table1[[#This Row],[Current price]]&lt;1000,"Budget",IF(Table1[[#This Row],[Current price]]&lt;=2000,"mid_range","premium"))</f>
        <v>Budget</v>
      </c>
      <c r="K18" t="str">
        <f>IF(Table1[[#This Row],[Disount amount]]&lt;1000,"low discount",IF(Table1[[#This Row],[Disount amount]]&lt;=2000,"medium discount","high discount"))</f>
        <v>low discount</v>
      </c>
      <c r="M18" s="7" t="s">
        <v>352</v>
      </c>
      <c r="N18" s="8">
        <f>MIN(Table1[Current price])</f>
        <v>38</v>
      </c>
    </row>
    <row r="19" spans="1:14" x14ac:dyDescent="0.25">
      <c r="A19" t="s">
        <v>63</v>
      </c>
      <c r="B19" s="2">
        <v>2025</v>
      </c>
      <c r="C19" s="2">
        <v>3971</v>
      </c>
      <c r="D19" s="2">
        <v>1946</v>
      </c>
      <c r="E19" s="1">
        <v>0.49</v>
      </c>
      <c r="F19">
        <v>3</v>
      </c>
      <c r="G19">
        <v>5</v>
      </c>
      <c r="H19" t="str">
        <f t="shared" si="0"/>
        <v>excellent</v>
      </c>
      <c r="I19" t="str">
        <f t="shared" si="1"/>
        <v>high</v>
      </c>
      <c r="J19" t="str">
        <f>IF(Table1[[#This Row],[Current price]]&lt;1000,"Budget",IF(Table1[[#This Row],[Current price]]&lt;=2000,"mid_range","premium"))</f>
        <v>premium</v>
      </c>
      <c r="K19" t="str">
        <f>IF(Table1[[#This Row],[Disount amount]]&lt;1000,"low discount",IF(Table1[[#This Row],[Disount amount]]&lt;=2000,"medium discount","high discount"))</f>
        <v>medium discount</v>
      </c>
    </row>
    <row r="20" spans="1:14" x14ac:dyDescent="0.25">
      <c r="A20" t="s">
        <v>66</v>
      </c>
      <c r="B20" s="2">
        <v>2999</v>
      </c>
      <c r="C20" s="2">
        <v>3699</v>
      </c>
      <c r="D20" s="2">
        <v>700</v>
      </c>
      <c r="E20" s="1">
        <v>0.19</v>
      </c>
      <c r="F20">
        <v>5</v>
      </c>
      <c r="G20">
        <v>4.5999999999999996</v>
      </c>
      <c r="H20" t="str">
        <f t="shared" si="0"/>
        <v>excellent</v>
      </c>
      <c r="I20" t="str">
        <f t="shared" si="1"/>
        <v>low</v>
      </c>
      <c r="J20" t="str">
        <f>IF(Table1[[#This Row],[Current price]]&lt;1000,"Budget",IF(Table1[[#This Row],[Current price]]&lt;=2000,"mid_range","premium"))</f>
        <v>premium</v>
      </c>
      <c r="K20" t="str">
        <f>IF(Table1[[#This Row],[Disount amount]]&lt;1000,"low discount",IF(Table1[[#This Row],[Disount amount]]&lt;=2000,"medium discount","high discount"))</f>
        <v>low discount</v>
      </c>
    </row>
    <row r="21" spans="1:14" x14ac:dyDescent="0.25">
      <c r="A21" t="s">
        <v>68</v>
      </c>
      <c r="B21">
        <v>998</v>
      </c>
      <c r="C21" s="2">
        <v>1966</v>
      </c>
      <c r="D21" s="2">
        <v>968</v>
      </c>
      <c r="E21" s="1">
        <v>0.49</v>
      </c>
      <c r="F21">
        <v>44</v>
      </c>
      <c r="G21">
        <v>4.5999999999999996</v>
      </c>
      <c r="H21" t="str">
        <f t="shared" si="0"/>
        <v>excellent</v>
      </c>
      <c r="I21" t="str">
        <f t="shared" si="1"/>
        <v>high</v>
      </c>
      <c r="J21" t="str">
        <f>IF(Table1[[#This Row],[Current price]]&lt;1000,"Budget",IF(Table1[[#This Row],[Current price]]&lt;=2000,"mid_range","premium"))</f>
        <v>Budget</v>
      </c>
      <c r="K21" t="str">
        <f>IF(Table1[[#This Row],[Disount amount]]&lt;1000,"low discount",IF(Table1[[#This Row],[Disount amount]]&lt;=2000,"medium discount","high discount"))</f>
        <v>low discount</v>
      </c>
    </row>
    <row r="22" spans="1:14" x14ac:dyDescent="0.25">
      <c r="A22" t="s">
        <v>71</v>
      </c>
      <c r="B22">
        <v>38</v>
      </c>
      <c r="C22">
        <v>80</v>
      </c>
      <c r="D22" s="2">
        <v>42</v>
      </c>
      <c r="E22" s="1">
        <v>0.53</v>
      </c>
      <c r="F22">
        <v>13</v>
      </c>
      <c r="G22">
        <v>3.3</v>
      </c>
      <c r="H22" t="str">
        <f t="shared" si="0"/>
        <v>average</v>
      </c>
      <c r="I22" t="str">
        <f t="shared" si="1"/>
        <v>high</v>
      </c>
      <c r="J22" t="str">
        <f>IF(Table1[[#This Row],[Current price]]&lt;1000,"Budget",IF(Table1[[#This Row],[Current price]]&lt;=2000,"mid_range","premium"))</f>
        <v>Budget</v>
      </c>
      <c r="K22" t="str">
        <f>IF(Table1[[#This Row],[Disount amount]]&lt;1000,"low discount",IF(Table1[[#This Row],[Disount amount]]&lt;=2000,"medium discount","high discount"))</f>
        <v>low discount</v>
      </c>
    </row>
    <row r="23" spans="1:14" x14ac:dyDescent="0.25">
      <c r="A23" t="s">
        <v>75</v>
      </c>
      <c r="B23" s="2">
        <v>1860</v>
      </c>
      <c r="C23" s="2">
        <v>3220</v>
      </c>
      <c r="D23" s="2">
        <v>1360</v>
      </c>
      <c r="E23" s="1">
        <v>0.42</v>
      </c>
      <c r="F23">
        <v>0</v>
      </c>
      <c r="G23">
        <v>0</v>
      </c>
      <c r="H23" t="str">
        <f t="shared" si="0"/>
        <v>no rating</v>
      </c>
      <c r="I23" t="str">
        <f t="shared" si="1"/>
        <v>high</v>
      </c>
      <c r="J23" t="str">
        <f>IF(Table1[[#This Row],[Current price]]&lt;1000,"Budget",IF(Table1[[#This Row],[Current price]]&lt;=2000,"mid_range","premium"))</f>
        <v>mid_range</v>
      </c>
      <c r="K23" t="str">
        <f>IF(Table1[[#This Row],[Disount amount]]&lt;1000,"low discount",IF(Table1[[#This Row],[Disount amount]]&lt;=2000,"medium discount","high discount"))</f>
        <v>medium discount</v>
      </c>
    </row>
    <row r="24" spans="1:14" x14ac:dyDescent="0.25">
      <c r="A24" t="s">
        <v>78</v>
      </c>
      <c r="B24">
        <v>880</v>
      </c>
      <c r="C24" s="2">
        <v>1350</v>
      </c>
      <c r="D24" s="2">
        <v>470</v>
      </c>
      <c r="E24" s="1">
        <v>0.35</v>
      </c>
      <c r="F24">
        <v>6</v>
      </c>
      <c r="G24">
        <v>4</v>
      </c>
      <c r="H24" t="str">
        <f t="shared" si="0"/>
        <v>average</v>
      </c>
      <c r="I24" t="str">
        <f t="shared" si="1"/>
        <v>medium</v>
      </c>
      <c r="J24" t="str">
        <f>IF(Table1[[#This Row],[Current price]]&lt;1000,"Budget",IF(Table1[[#This Row],[Current price]]&lt;=2000,"mid_range","premium"))</f>
        <v>Budget</v>
      </c>
      <c r="K24" t="str">
        <f>IF(Table1[[#This Row],[Disount amount]]&lt;1000,"low discount",IF(Table1[[#This Row],[Disount amount]]&lt;=2000,"medium discount","high discount"))</f>
        <v>low discount</v>
      </c>
    </row>
    <row r="25" spans="1:14" x14ac:dyDescent="0.25">
      <c r="A25" t="s">
        <v>81</v>
      </c>
      <c r="B25" s="2">
        <v>1650</v>
      </c>
      <c r="C25" s="2">
        <v>2150</v>
      </c>
      <c r="D25" s="2">
        <v>500</v>
      </c>
      <c r="E25" s="1">
        <v>0.23</v>
      </c>
      <c r="F25">
        <v>14</v>
      </c>
      <c r="G25">
        <v>4.4000000000000004</v>
      </c>
      <c r="H25" t="str">
        <f t="shared" si="0"/>
        <v>average</v>
      </c>
      <c r="I25" t="str">
        <f t="shared" si="1"/>
        <v>medium</v>
      </c>
      <c r="J25" t="str">
        <f>IF(Table1[[#This Row],[Current price]]&lt;1000,"Budget",IF(Table1[[#This Row],[Current price]]&lt;=2000,"mid_range","premium"))</f>
        <v>mid_range</v>
      </c>
      <c r="K25" t="str">
        <f>IF(Table1[[#This Row],[Disount amount]]&lt;1000,"low discount",IF(Table1[[#This Row],[Disount amount]]&lt;=2000,"medium discount","high discount"))</f>
        <v>low discount</v>
      </c>
    </row>
    <row r="26" spans="1:14" x14ac:dyDescent="0.25">
      <c r="A26" t="s">
        <v>85</v>
      </c>
      <c r="B26" s="2">
        <v>2048</v>
      </c>
      <c r="C26" s="2">
        <v>4500</v>
      </c>
      <c r="D26" s="2">
        <v>2452</v>
      </c>
      <c r="E26" s="1">
        <v>0.54</v>
      </c>
      <c r="F26">
        <v>7</v>
      </c>
      <c r="G26">
        <v>4.3</v>
      </c>
      <c r="H26" t="str">
        <f t="shared" si="0"/>
        <v>average</v>
      </c>
      <c r="I26" t="str">
        <f t="shared" si="1"/>
        <v>high</v>
      </c>
      <c r="J26" t="str">
        <f>IF(Table1[[#This Row],[Current price]]&lt;1000,"Budget",IF(Table1[[#This Row],[Current price]]&lt;=2000,"mid_range","premium"))</f>
        <v>premium</v>
      </c>
      <c r="K26" t="str">
        <f>IF(Table1[[#This Row],[Disount amount]]&lt;1000,"low discount",IF(Table1[[#This Row],[Disount amount]]&lt;=2000,"medium discount","high discount"))</f>
        <v>high discount</v>
      </c>
    </row>
    <row r="27" spans="1:14" x14ac:dyDescent="0.25">
      <c r="A27" t="s">
        <v>89</v>
      </c>
      <c r="B27">
        <v>420</v>
      </c>
      <c r="C27">
        <v>647</v>
      </c>
      <c r="D27" s="2">
        <v>227</v>
      </c>
      <c r="E27" s="1">
        <v>0.35</v>
      </c>
      <c r="F27">
        <v>49</v>
      </c>
      <c r="G27">
        <v>4.5999999999999996</v>
      </c>
      <c r="H27" t="str">
        <f t="shared" si="0"/>
        <v>excellent</v>
      </c>
      <c r="I27" t="str">
        <f t="shared" si="1"/>
        <v>medium</v>
      </c>
      <c r="J27" t="str">
        <f>IF(Table1[[#This Row],[Current price]]&lt;1000,"Budget",IF(Table1[[#This Row],[Current price]]&lt;=2000,"mid_range","premium"))</f>
        <v>Budget</v>
      </c>
      <c r="K27" t="str">
        <f>IF(Table1[[#This Row],[Disount amount]]&lt;1000,"low discount",IF(Table1[[#This Row],[Disount amount]]&lt;=2000,"medium discount","high discount"))</f>
        <v>low discount</v>
      </c>
    </row>
    <row r="28" spans="1:14" x14ac:dyDescent="0.25">
      <c r="A28" t="s">
        <v>92</v>
      </c>
      <c r="B28" s="2">
        <v>2880</v>
      </c>
      <c r="C28" s="2">
        <v>3520</v>
      </c>
      <c r="D28" s="2">
        <v>640</v>
      </c>
      <c r="E28" s="1">
        <v>0.18</v>
      </c>
      <c r="F28">
        <v>12</v>
      </c>
      <c r="G28">
        <v>3.8</v>
      </c>
      <c r="H28" t="str">
        <f t="shared" si="0"/>
        <v>average</v>
      </c>
      <c r="I28" t="str">
        <f t="shared" si="1"/>
        <v>low</v>
      </c>
      <c r="J28" t="str">
        <f>IF(Table1[[#This Row],[Current price]]&lt;1000,"Budget",IF(Table1[[#This Row],[Current price]]&lt;=2000,"mid_range","premium"))</f>
        <v>premium</v>
      </c>
      <c r="K28" t="str">
        <f>IF(Table1[[#This Row],[Disount amount]]&lt;1000,"low discount",IF(Table1[[#This Row],[Disount amount]]&lt;=2000,"medium discount","high discount"))</f>
        <v>low discount</v>
      </c>
    </row>
    <row r="29" spans="1:14" x14ac:dyDescent="0.25">
      <c r="A29" t="s">
        <v>95</v>
      </c>
      <c r="B29" s="2">
        <v>1350</v>
      </c>
      <c r="C29" s="2">
        <v>1990</v>
      </c>
      <c r="D29" s="2">
        <v>640</v>
      </c>
      <c r="E29" s="1">
        <v>0.32</v>
      </c>
      <c r="F29">
        <v>13</v>
      </c>
      <c r="G29">
        <v>3.8</v>
      </c>
      <c r="H29" t="str">
        <f t="shared" si="0"/>
        <v>average</v>
      </c>
      <c r="I29" t="str">
        <f t="shared" si="1"/>
        <v>medium</v>
      </c>
      <c r="J29" t="str">
        <f>IF(Table1[[#This Row],[Current price]]&lt;1000,"Budget",IF(Table1[[#This Row],[Current price]]&lt;=2000,"mid_range","premium"))</f>
        <v>mid_range</v>
      </c>
      <c r="K29" t="str">
        <f>IF(Table1[[#This Row],[Disount amount]]&lt;1000,"low discount",IF(Table1[[#This Row],[Disount amount]]&lt;=2000,"medium discount","high discount"))</f>
        <v>low discount</v>
      </c>
    </row>
    <row r="30" spans="1:14" x14ac:dyDescent="0.25">
      <c r="A30" t="s">
        <v>97</v>
      </c>
      <c r="B30" s="2">
        <v>1758</v>
      </c>
      <c r="C30" s="2">
        <v>2499</v>
      </c>
      <c r="D30" s="2">
        <v>741</v>
      </c>
      <c r="E30" s="1">
        <v>0.3</v>
      </c>
      <c r="F30">
        <v>20</v>
      </c>
      <c r="G30">
        <v>4.0999999999999996</v>
      </c>
      <c r="H30" t="str">
        <f t="shared" si="0"/>
        <v>average</v>
      </c>
      <c r="I30" t="str">
        <f t="shared" si="1"/>
        <v>medium</v>
      </c>
      <c r="J30" t="str">
        <f>IF(Table1[[#This Row],[Current price]]&lt;1000,"Budget",IF(Table1[[#This Row],[Current price]]&lt;=2000,"mid_range","premium"))</f>
        <v>mid_range</v>
      </c>
      <c r="K30" t="str">
        <f>IF(Table1[[#This Row],[Disount amount]]&lt;1000,"low discount",IF(Table1[[#This Row],[Disount amount]]&lt;=2000,"medium discount","high discount"))</f>
        <v>low discount</v>
      </c>
    </row>
    <row r="31" spans="1:14" x14ac:dyDescent="0.25">
      <c r="A31" t="s">
        <v>99</v>
      </c>
      <c r="B31" s="2">
        <v>2200</v>
      </c>
      <c r="C31" s="2">
        <v>4080</v>
      </c>
      <c r="D31" s="2">
        <v>1880</v>
      </c>
      <c r="E31" s="1">
        <v>0.46</v>
      </c>
      <c r="F31">
        <v>0</v>
      </c>
      <c r="G31">
        <v>0</v>
      </c>
      <c r="H31" t="str">
        <f t="shared" si="0"/>
        <v>no rating</v>
      </c>
      <c r="I31" t="str">
        <f t="shared" si="1"/>
        <v>high</v>
      </c>
      <c r="J31" t="str">
        <f>IF(Table1[[#This Row],[Current price]]&lt;1000,"Budget",IF(Table1[[#This Row],[Current price]]&lt;=2000,"mid_range","premium"))</f>
        <v>premium</v>
      </c>
      <c r="K31" t="str">
        <f>IF(Table1[[#This Row],[Disount amount]]&lt;1000,"low discount",IF(Table1[[#This Row],[Disount amount]]&lt;=2000,"medium discount","high discount"))</f>
        <v>medium discount</v>
      </c>
    </row>
    <row r="32" spans="1:14" x14ac:dyDescent="0.25">
      <c r="A32" t="s">
        <v>102</v>
      </c>
      <c r="B32">
        <v>185</v>
      </c>
      <c r="C32">
        <v>382</v>
      </c>
      <c r="D32" s="2">
        <v>197</v>
      </c>
      <c r="E32" s="1">
        <v>0.52</v>
      </c>
      <c r="F32">
        <v>9</v>
      </c>
      <c r="G32">
        <v>4.3</v>
      </c>
      <c r="H32" t="str">
        <f t="shared" si="0"/>
        <v>average</v>
      </c>
      <c r="I32" t="str">
        <f t="shared" si="1"/>
        <v>high</v>
      </c>
      <c r="J32" t="str">
        <f>IF(Table1[[#This Row],[Current price]]&lt;1000,"Budget",IF(Table1[[#This Row],[Current price]]&lt;=2000,"mid_range","premium"))</f>
        <v>Budget</v>
      </c>
      <c r="K32" t="str">
        <f>IF(Table1[[#This Row],[Disount amount]]&lt;1000,"low discount",IF(Table1[[#This Row],[Disount amount]]&lt;=2000,"medium discount","high discount"))</f>
        <v>low discount</v>
      </c>
    </row>
    <row r="33" spans="1:11" x14ac:dyDescent="0.25">
      <c r="A33" t="s">
        <v>105</v>
      </c>
      <c r="B33">
        <v>980</v>
      </c>
      <c r="C33" s="2">
        <v>1490</v>
      </c>
      <c r="D33" s="2">
        <v>510</v>
      </c>
      <c r="E33" s="1">
        <v>0.34</v>
      </c>
      <c r="F33">
        <v>12</v>
      </c>
      <c r="G33">
        <v>4.7</v>
      </c>
      <c r="H33" t="str">
        <f t="shared" si="0"/>
        <v>excellent</v>
      </c>
      <c r="I33" t="str">
        <f t="shared" si="1"/>
        <v>medium</v>
      </c>
      <c r="J33" t="str">
        <f>IF(Table1[[#This Row],[Current price]]&lt;1000,"Budget",IF(Table1[[#This Row],[Current price]]&lt;=2000,"mid_range","premium"))</f>
        <v>Budget</v>
      </c>
      <c r="K33" t="str">
        <f>IF(Table1[[#This Row],[Disount amount]]&lt;1000,"low discount",IF(Table1[[#This Row],[Disount amount]]&lt;=2000,"medium discount","high discount"))</f>
        <v>low discount</v>
      </c>
    </row>
    <row r="34" spans="1:11" x14ac:dyDescent="0.25">
      <c r="A34" t="s">
        <v>108</v>
      </c>
      <c r="B34" s="2">
        <v>1820</v>
      </c>
      <c r="C34" s="2">
        <v>3490</v>
      </c>
      <c r="D34" s="2">
        <v>1670</v>
      </c>
      <c r="E34" s="1">
        <v>0.48</v>
      </c>
      <c r="F34">
        <v>9</v>
      </c>
      <c r="G34">
        <v>4.3</v>
      </c>
      <c r="H34" t="str">
        <f t="shared" si="0"/>
        <v>average</v>
      </c>
      <c r="I34" t="str">
        <f t="shared" si="1"/>
        <v>high</v>
      </c>
      <c r="J34" t="str">
        <f>IF(Table1[[#This Row],[Current price]]&lt;1000,"Budget",IF(Table1[[#This Row],[Current price]]&lt;=2000,"mid_range","premium"))</f>
        <v>mid_range</v>
      </c>
      <c r="K34" t="str">
        <f>IF(Table1[[#This Row],[Disount amount]]&lt;1000,"low discount",IF(Table1[[#This Row],[Disount amount]]&lt;=2000,"medium discount","high discount"))</f>
        <v>medium discount</v>
      </c>
    </row>
    <row r="35" spans="1:11" x14ac:dyDescent="0.25">
      <c r="A35" t="s">
        <v>111</v>
      </c>
      <c r="B35" s="2">
        <v>1940</v>
      </c>
      <c r="C35" s="2">
        <v>2650</v>
      </c>
      <c r="D35" s="2">
        <v>710</v>
      </c>
      <c r="E35" s="1">
        <v>0.27</v>
      </c>
      <c r="F35">
        <v>20</v>
      </c>
      <c r="G35">
        <v>4.7</v>
      </c>
      <c r="H35" t="str">
        <f t="shared" si="0"/>
        <v>excellent</v>
      </c>
      <c r="I35" t="str">
        <f t="shared" si="1"/>
        <v>medium</v>
      </c>
      <c r="J35" t="str">
        <f>IF(Table1[[#This Row],[Current price]]&lt;1000,"Budget",IF(Table1[[#This Row],[Current price]]&lt;=2000,"mid_range","premium"))</f>
        <v>mid_range</v>
      </c>
      <c r="K35" t="str">
        <f>IF(Table1[[#This Row],[Disount amount]]&lt;1000,"low discount",IF(Table1[[#This Row],[Disount amount]]&lt;=2000,"medium discount","high discount"))</f>
        <v>low discount</v>
      </c>
    </row>
    <row r="36" spans="1:11" x14ac:dyDescent="0.25">
      <c r="A36" t="s">
        <v>114</v>
      </c>
      <c r="B36" s="2">
        <v>1980</v>
      </c>
      <c r="C36" s="2">
        <v>2699</v>
      </c>
      <c r="D36" s="2">
        <v>719</v>
      </c>
      <c r="E36" s="1">
        <v>0.27</v>
      </c>
      <c r="F36">
        <v>32</v>
      </c>
      <c r="G36">
        <v>4.5</v>
      </c>
      <c r="H36" t="str">
        <f t="shared" si="0"/>
        <v>average</v>
      </c>
      <c r="I36" t="str">
        <f t="shared" si="1"/>
        <v>medium</v>
      </c>
      <c r="J36" t="str">
        <f>IF(Table1[[#This Row],[Current price]]&lt;1000,"Budget",IF(Table1[[#This Row],[Current price]]&lt;=2000,"mid_range","premium"))</f>
        <v>mid_range</v>
      </c>
      <c r="K36" t="str">
        <f>IF(Table1[[#This Row],[Disount amount]]&lt;1000,"low discount",IF(Table1[[#This Row],[Disount amount]]&lt;=2000,"medium discount","high discount"))</f>
        <v>low discount</v>
      </c>
    </row>
    <row r="37" spans="1:11" x14ac:dyDescent="0.25">
      <c r="A37" t="s">
        <v>117</v>
      </c>
      <c r="B37" s="2">
        <v>1620</v>
      </c>
      <c r="C37" s="2">
        <v>2690</v>
      </c>
      <c r="D37" s="2">
        <v>1070</v>
      </c>
      <c r="E37" s="1">
        <v>0.4</v>
      </c>
      <c r="F37">
        <v>1</v>
      </c>
      <c r="G37">
        <v>5</v>
      </c>
      <c r="H37" t="str">
        <f t="shared" si="0"/>
        <v>excellent</v>
      </c>
      <c r="I37" t="str">
        <f t="shared" si="1"/>
        <v>medium</v>
      </c>
      <c r="J37" t="str">
        <f>IF(Table1[[#This Row],[Current price]]&lt;1000,"Budget",IF(Table1[[#This Row],[Current price]]&lt;=2000,"mid_range","premium"))</f>
        <v>mid_range</v>
      </c>
      <c r="K37" t="str">
        <f>IF(Table1[[#This Row],[Disount amount]]&lt;1000,"low discount",IF(Table1[[#This Row],[Disount amount]]&lt;=2000,"medium discount","high discount"))</f>
        <v>medium discount</v>
      </c>
    </row>
    <row r="38" spans="1:11" x14ac:dyDescent="0.25">
      <c r="A38" t="s">
        <v>120</v>
      </c>
      <c r="B38">
        <v>171</v>
      </c>
      <c r="C38">
        <v>360</v>
      </c>
      <c r="D38" s="2">
        <v>189</v>
      </c>
      <c r="E38" s="1">
        <v>0.53</v>
      </c>
      <c r="F38">
        <v>2</v>
      </c>
      <c r="G38">
        <v>5</v>
      </c>
      <c r="H38" t="str">
        <f t="shared" si="0"/>
        <v>excellent</v>
      </c>
      <c r="I38" t="str">
        <f t="shared" si="1"/>
        <v>high</v>
      </c>
      <c r="J38" t="str">
        <f>IF(Table1[[#This Row],[Current price]]&lt;1000,"Budget",IF(Table1[[#This Row],[Current price]]&lt;=2000,"mid_range","premium"))</f>
        <v>Budget</v>
      </c>
      <c r="K38" t="str">
        <f>IF(Table1[[#This Row],[Disount amount]]&lt;1000,"low discount",IF(Table1[[#This Row],[Disount amount]]&lt;=2000,"medium discount","high discount"))</f>
        <v>low discount</v>
      </c>
    </row>
    <row r="39" spans="1:11" x14ac:dyDescent="0.25">
      <c r="A39" t="s">
        <v>122</v>
      </c>
      <c r="B39">
        <v>389</v>
      </c>
      <c r="C39">
        <v>656</v>
      </c>
      <c r="D39" s="2">
        <v>267</v>
      </c>
      <c r="E39" s="1">
        <v>0.41</v>
      </c>
      <c r="F39">
        <v>36</v>
      </c>
      <c r="G39">
        <v>4.3</v>
      </c>
      <c r="H39" t="str">
        <f t="shared" si="0"/>
        <v>average</v>
      </c>
      <c r="I39" t="str">
        <f t="shared" si="1"/>
        <v>high</v>
      </c>
      <c r="J39" t="str">
        <f>IF(Table1[[#This Row],[Current price]]&lt;1000,"Budget",IF(Table1[[#This Row],[Current price]]&lt;=2000,"mid_range","premium"))</f>
        <v>Budget</v>
      </c>
      <c r="K39" t="str">
        <f>IF(Table1[[#This Row],[Disount amount]]&lt;1000,"low discount",IF(Table1[[#This Row],[Disount amount]]&lt;=2000,"medium discount","high discount"))</f>
        <v>low discount</v>
      </c>
    </row>
    <row r="40" spans="1:11" x14ac:dyDescent="0.25">
      <c r="A40" t="s">
        <v>125</v>
      </c>
      <c r="B40" s="2">
        <v>1980</v>
      </c>
      <c r="C40" s="2">
        <v>3200</v>
      </c>
      <c r="D40" s="2">
        <v>1220</v>
      </c>
      <c r="E40" s="1">
        <v>0.38</v>
      </c>
      <c r="F40">
        <v>2</v>
      </c>
      <c r="G40">
        <v>4.5</v>
      </c>
      <c r="H40" t="str">
        <f t="shared" si="0"/>
        <v>average</v>
      </c>
      <c r="I40" t="str">
        <f t="shared" si="1"/>
        <v>medium</v>
      </c>
      <c r="J40" t="str">
        <f>IF(Table1[[#This Row],[Current price]]&lt;1000,"Budget",IF(Table1[[#This Row],[Current price]]&lt;=2000,"mid_range","premium"))</f>
        <v>mid_range</v>
      </c>
      <c r="K40" t="str">
        <f>IF(Table1[[#This Row],[Disount amount]]&lt;1000,"low discount",IF(Table1[[#This Row],[Disount amount]]&lt;=2000,"medium discount","high discount"))</f>
        <v>medium discount</v>
      </c>
    </row>
    <row r="41" spans="1:11" x14ac:dyDescent="0.25">
      <c r="A41" t="s">
        <v>128</v>
      </c>
      <c r="B41" s="2">
        <v>2750</v>
      </c>
      <c r="C41" s="2">
        <v>4471</v>
      </c>
      <c r="D41" s="2">
        <v>1721</v>
      </c>
      <c r="E41" s="1">
        <v>0.38</v>
      </c>
      <c r="F41">
        <v>0</v>
      </c>
      <c r="G41">
        <v>0</v>
      </c>
      <c r="H41" t="str">
        <f t="shared" si="0"/>
        <v>no rating</v>
      </c>
      <c r="I41" t="str">
        <f t="shared" si="1"/>
        <v>medium</v>
      </c>
      <c r="J41" t="str">
        <f>IF(Table1[[#This Row],[Current price]]&lt;1000,"Budget",IF(Table1[[#This Row],[Current price]]&lt;=2000,"mid_range","premium"))</f>
        <v>premium</v>
      </c>
      <c r="K41" t="str">
        <f>IF(Table1[[#This Row],[Disount amount]]&lt;1000,"low discount",IF(Table1[[#This Row],[Disount amount]]&lt;=2000,"medium discount","high discount"))</f>
        <v>medium discount</v>
      </c>
    </row>
    <row r="42" spans="1:11" x14ac:dyDescent="0.25">
      <c r="A42" t="s">
        <v>131</v>
      </c>
      <c r="B42">
        <v>475</v>
      </c>
      <c r="C42">
        <v>931</v>
      </c>
      <c r="D42" s="2">
        <v>456</v>
      </c>
      <c r="E42" s="1">
        <v>0.49</v>
      </c>
      <c r="F42">
        <v>0</v>
      </c>
      <c r="G42">
        <v>0</v>
      </c>
      <c r="H42" t="str">
        <f t="shared" si="0"/>
        <v>no rating</v>
      </c>
      <c r="I42" t="str">
        <f t="shared" si="1"/>
        <v>high</v>
      </c>
      <c r="J42" t="str">
        <f>IF(Table1[[#This Row],[Current price]]&lt;1000,"Budget",IF(Table1[[#This Row],[Current price]]&lt;=2000,"mid_range","premium"))</f>
        <v>Budget</v>
      </c>
      <c r="K42" t="str">
        <f>IF(Table1[[#This Row],[Disount amount]]&lt;1000,"low discount",IF(Table1[[#This Row],[Disount amount]]&lt;=2000,"medium discount","high discount"))</f>
        <v>low discount</v>
      </c>
    </row>
    <row r="43" spans="1:11" x14ac:dyDescent="0.25">
      <c r="A43" t="s">
        <v>134</v>
      </c>
      <c r="B43">
        <v>238</v>
      </c>
      <c r="C43">
        <v>476</v>
      </c>
      <c r="D43" s="2">
        <v>238</v>
      </c>
      <c r="E43" s="1">
        <v>0.5</v>
      </c>
      <c r="F43">
        <v>0</v>
      </c>
      <c r="G43">
        <v>0</v>
      </c>
      <c r="H43" t="str">
        <f t="shared" si="0"/>
        <v>no rating</v>
      </c>
      <c r="I43" t="str">
        <f t="shared" si="1"/>
        <v>high</v>
      </c>
      <c r="J43" t="str">
        <f>IF(Table1[[#This Row],[Current price]]&lt;1000,"Budget",IF(Table1[[#This Row],[Current price]]&lt;=2000,"mid_range","premium"))</f>
        <v>Budget</v>
      </c>
      <c r="K43" t="str">
        <f>IF(Table1[[#This Row],[Disount amount]]&lt;1000,"low discount",IF(Table1[[#This Row],[Disount amount]]&lt;=2000,"medium discount","high discount"))</f>
        <v>low discount</v>
      </c>
    </row>
    <row r="44" spans="1:11" x14ac:dyDescent="0.25">
      <c r="A44" t="s">
        <v>137</v>
      </c>
      <c r="B44">
        <v>610</v>
      </c>
      <c r="C44" s="2">
        <v>1060</v>
      </c>
      <c r="D44" s="2">
        <v>450</v>
      </c>
      <c r="E44" s="1">
        <v>0.42</v>
      </c>
      <c r="F44">
        <v>0</v>
      </c>
      <c r="G44">
        <v>0</v>
      </c>
      <c r="H44" t="str">
        <f t="shared" si="0"/>
        <v>no rating</v>
      </c>
      <c r="I44" t="str">
        <f t="shared" si="1"/>
        <v>high</v>
      </c>
      <c r="J44" t="str">
        <f>IF(Table1[[#This Row],[Current price]]&lt;1000,"Budget",IF(Table1[[#This Row],[Current price]]&lt;=2000,"mid_range","premium"))</f>
        <v>Budget</v>
      </c>
      <c r="K44" t="str">
        <f>IF(Table1[[#This Row],[Disount amount]]&lt;1000,"low discount",IF(Table1[[#This Row],[Disount amount]]&lt;=2000,"medium discount","high discount"))</f>
        <v>low discount</v>
      </c>
    </row>
    <row r="45" spans="1:11" x14ac:dyDescent="0.25">
      <c r="A45" t="s">
        <v>137</v>
      </c>
      <c r="B45">
        <v>610</v>
      </c>
      <c r="C45" s="2">
        <v>1060</v>
      </c>
      <c r="D45" s="2">
        <v>450</v>
      </c>
      <c r="E45" s="1">
        <v>0.42</v>
      </c>
      <c r="F45">
        <v>0</v>
      </c>
      <c r="G45">
        <v>0</v>
      </c>
      <c r="H45" t="str">
        <f t="shared" si="0"/>
        <v>no rating</v>
      </c>
      <c r="I45" t="str">
        <f t="shared" si="1"/>
        <v>high</v>
      </c>
      <c r="J45" t="str">
        <f>IF(Table1[[#This Row],[Current price]]&lt;1000,"Budget",IF(Table1[[#This Row],[Current price]]&lt;=2000,"mid_range","premium"))</f>
        <v>Budget</v>
      </c>
      <c r="K45" t="str">
        <f>IF(Table1[[#This Row],[Disount amount]]&lt;1000,"low discount",IF(Table1[[#This Row],[Disount amount]]&lt;=2000,"medium discount","high discount"))</f>
        <v>low discount</v>
      </c>
    </row>
    <row r="46" spans="1:11" x14ac:dyDescent="0.25">
      <c r="A46" t="s">
        <v>140</v>
      </c>
      <c r="B46" s="2">
        <v>2132</v>
      </c>
      <c r="C46" s="2">
        <v>2169</v>
      </c>
      <c r="D46" s="2">
        <v>37</v>
      </c>
      <c r="E46" s="1">
        <v>0.02</v>
      </c>
      <c r="F46">
        <v>0</v>
      </c>
      <c r="G46">
        <v>0</v>
      </c>
      <c r="H46" t="str">
        <f t="shared" si="0"/>
        <v>no rating</v>
      </c>
      <c r="I46" t="str">
        <f t="shared" si="1"/>
        <v>low</v>
      </c>
      <c r="J46" t="str">
        <f>IF(Table1[[#This Row],[Current price]]&lt;1000,"Budget",IF(Table1[[#This Row],[Current price]]&lt;=2000,"mid_range","premium"))</f>
        <v>premium</v>
      </c>
      <c r="K46" t="str">
        <f>IF(Table1[[#This Row],[Disount amount]]&lt;1000,"low discount",IF(Table1[[#This Row],[Disount amount]]&lt;=2000,"medium discount","high discount"))</f>
        <v>low discount</v>
      </c>
    </row>
    <row r="47" spans="1:11" x14ac:dyDescent="0.25">
      <c r="A47" t="s">
        <v>143</v>
      </c>
      <c r="B47">
        <v>999</v>
      </c>
      <c r="C47" s="2">
        <v>2000</v>
      </c>
      <c r="D47" s="2">
        <v>1001</v>
      </c>
      <c r="E47" s="1">
        <v>0.5</v>
      </c>
      <c r="F47">
        <v>0</v>
      </c>
      <c r="G47">
        <v>0</v>
      </c>
      <c r="H47" t="str">
        <f t="shared" si="0"/>
        <v>no rating</v>
      </c>
      <c r="I47" t="str">
        <f t="shared" si="1"/>
        <v>high</v>
      </c>
      <c r="J47" t="str">
        <f>IF(Table1[[#This Row],[Current price]]&lt;1000,"Budget",IF(Table1[[#This Row],[Current price]]&lt;=2000,"mid_range","premium"))</f>
        <v>Budget</v>
      </c>
      <c r="K47" t="str">
        <f>IF(Table1[[#This Row],[Disount amount]]&lt;1000,"low discount",IF(Table1[[#This Row],[Disount amount]]&lt;=2000,"medium discount","high discount"))</f>
        <v>medium discount</v>
      </c>
    </row>
    <row r="48" spans="1:11" x14ac:dyDescent="0.25">
      <c r="A48" t="s">
        <v>145</v>
      </c>
      <c r="B48" s="2">
        <v>1190</v>
      </c>
      <c r="C48" s="2">
        <v>1785</v>
      </c>
      <c r="D48" s="2">
        <v>595</v>
      </c>
      <c r="E48" s="1">
        <v>0.33</v>
      </c>
      <c r="F48">
        <v>0</v>
      </c>
      <c r="G48">
        <v>0</v>
      </c>
      <c r="H48" t="str">
        <f t="shared" si="0"/>
        <v>no rating</v>
      </c>
      <c r="I48" t="str">
        <f t="shared" si="1"/>
        <v>medium</v>
      </c>
      <c r="J48" t="str">
        <f>IF(Table1[[#This Row],[Current price]]&lt;1000,"Budget",IF(Table1[[#This Row],[Current price]]&lt;=2000,"mid_range","premium"))</f>
        <v>mid_range</v>
      </c>
      <c r="K48" t="str">
        <f>IF(Table1[[#This Row],[Disount amount]]&lt;1000,"low discount",IF(Table1[[#This Row],[Disount amount]]&lt;=2000,"medium discount","high discount"))</f>
        <v>low discount</v>
      </c>
    </row>
    <row r="49" spans="1:11" x14ac:dyDescent="0.25">
      <c r="A49" t="s">
        <v>148</v>
      </c>
      <c r="B49">
        <v>671</v>
      </c>
      <c r="C49" s="2">
        <v>1316</v>
      </c>
      <c r="D49" s="2">
        <v>645</v>
      </c>
      <c r="E49" s="1">
        <v>0.49</v>
      </c>
      <c r="F49">
        <v>0</v>
      </c>
      <c r="G49">
        <v>0</v>
      </c>
      <c r="H49" t="str">
        <f t="shared" si="0"/>
        <v>no rating</v>
      </c>
      <c r="I49" t="str">
        <f t="shared" si="1"/>
        <v>high</v>
      </c>
      <c r="J49" t="str">
        <f>IF(Table1[[#This Row],[Current price]]&lt;1000,"Budget",IF(Table1[[#This Row],[Current price]]&lt;=2000,"mid_range","premium"))</f>
        <v>Budget</v>
      </c>
      <c r="K49" t="str">
        <f>IF(Table1[[#This Row],[Disount amount]]&lt;1000,"low discount",IF(Table1[[#This Row],[Disount amount]]&lt;=2000,"medium discount","high discount"))</f>
        <v>low discount</v>
      </c>
    </row>
    <row r="50" spans="1:11" x14ac:dyDescent="0.25">
      <c r="A50" t="s">
        <v>151</v>
      </c>
      <c r="B50" s="2">
        <v>1200</v>
      </c>
      <c r="C50" s="2">
        <v>1950</v>
      </c>
      <c r="D50" s="2">
        <v>750</v>
      </c>
      <c r="E50" s="1">
        <v>0.38</v>
      </c>
      <c r="F50">
        <v>0</v>
      </c>
      <c r="G50">
        <v>0</v>
      </c>
      <c r="H50" t="str">
        <f t="shared" si="0"/>
        <v>no rating</v>
      </c>
      <c r="I50" t="str">
        <f t="shared" si="1"/>
        <v>medium</v>
      </c>
      <c r="J50" t="str">
        <f>IF(Table1[[#This Row],[Current price]]&lt;1000,"Budget",IF(Table1[[#This Row],[Current price]]&lt;=2000,"mid_range","premium"))</f>
        <v>mid_range</v>
      </c>
      <c r="K50" t="str">
        <f>IF(Table1[[#This Row],[Disount amount]]&lt;1000,"low discount",IF(Table1[[#This Row],[Disount amount]]&lt;=2000,"medium discount","high discount"))</f>
        <v>low discount</v>
      </c>
    </row>
    <row r="51" spans="1:11" x14ac:dyDescent="0.25">
      <c r="A51" t="s">
        <v>154</v>
      </c>
      <c r="B51">
        <v>199</v>
      </c>
      <c r="C51">
        <v>504</v>
      </c>
      <c r="D51" s="2">
        <v>305</v>
      </c>
      <c r="E51" s="1">
        <v>0.61</v>
      </c>
      <c r="F51">
        <v>0</v>
      </c>
      <c r="G51">
        <v>0</v>
      </c>
      <c r="H51" t="str">
        <f t="shared" si="0"/>
        <v>no rating</v>
      </c>
      <c r="I51" t="str">
        <f t="shared" si="1"/>
        <v>high</v>
      </c>
      <c r="J51" t="str">
        <f>IF(Table1[[#This Row],[Current price]]&lt;1000,"Budget",IF(Table1[[#This Row],[Current price]]&lt;=2000,"mid_range","premium"))</f>
        <v>Budget</v>
      </c>
      <c r="K51" t="str">
        <f>IF(Table1[[#This Row],[Disount amount]]&lt;1000,"low discount",IF(Table1[[#This Row],[Disount amount]]&lt;=2000,"medium discount","high discount"))</f>
        <v>low discount</v>
      </c>
    </row>
    <row r="52" spans="1:11" x14ac:dyDescent="0.25">
      <c r="A52" t="s">
        <v>157</v>
      </c>
      <c r="B52">
        <v>299</v>
      </c>
      <c r="C52">
        <v>600</v>
      </c>
      <c r="D52" s="2">
        <v>301</v>
      </c>
      <c r="E52" s="1">
        <v>0.5</v>
      </c>
      <c r="F52">
        <v>0</v>
      </c>
      <c r="G52">
        <v>0</v>
      </c>
      <c r="H52" t="str">
        <f t="shared" si="0"/>
        <v>no rating</v>
      </c>
      <c r="I52" t="str">
        <f t="shared" si="1"/>
        <v>high</v>
      </c>
      <c r="J52" t="str">
        <f>IF(Table1[[#This Row],[Current price]]&lt;1000,"Budget",IF(Table1[[#This Row],[Current price]]&lt;=2000,"mid_range","premium"))</f>
        <v>Budget</v>
      </c>
      <c r="K52" t="str">
        <f>IF(Table1[[#This Row],[Disount amount]]&lt;1000,"low discount",IF(Table1[[#This Row],[Disount amount]]&lt;=2000,"medium discount","high discount"))</f>
        <v>low discount</v>
      </c>
    </row>
    <row r="53" spans="1:11" x14ac:dyDescent="0.25">
      <c r="A53" t="s">
        <v>160</v>
      </c>
      <c r="B53" s="2">
        <v>1660</v>
      </c>
      <c r="C53" s="2">
        <v>1699</v>
      </c>
      <c r="D53" s="2">
        <v>39</v>
      </c>
      <c r="E53" s="1">
        <v>0.02</v>
      </c>
      <c r="F53">
        <v>0</v>
      </c>
      <c r="G53">
        <v>0</v>
      </c>
      <c r="H53" t="str">
        <f t="shared" si="0"/>
        <v>no rating</v>
      </c>
      <c r="I53" t="str">
        <f t="shared" si="1"/>
        <v>low</v>
      </c>
      <c r="J53" t="str">
        <f>IF(Table1[[#This Row],[Current price]]&lt;1000,"Budget",IF(Table1[[#This Row],[Current price]]&lt;=2000,"mid_range","premium"))</f>
        <v>mid_range</v>
      </c>
      <c r="K53" t="str">
        <f>IF(Table1[[#This Row],[Disount amount]]&lt;1000,"low discount",IF(Table1[[#This Row],[Disount amount]]&lt;=2000,"medium discount","high discount"))</f>
        <v>low discount</v>
      </c>
    </row>
    <row r="54" spans="1:11" x14ac:dyDescent="0.25">
      <c r="A54" t="s">
        <v>163</v>
      </c>
      <c r="B54">
        <v>299</v>
      </c>
      <c r="C54">
        <v>384</v>
      </c>
      <c r="D54" s="2">
        <v>85</v>
      </c>
      <c r="E54" s="1">
        <v>0.22</v>
      </c>
      <c r="F54">
        <v>0</v>
      </c>
      <c r="G54">
        <v>0</v>
      </c>
      <c r="H54" t="str">
        <f t="shared" si="0"/>
        <v>no rating</v>
      </c>
      <c r="I54" t="str">
        <f t="shared" si="1"/>
        <v>medium</v>
      </c>
      <c r="J54" t="str">
        <f>IF(Table1[[#This Row],[Current price]]&lt;1000,"Budget",IF(Table1[[#This Row],[Current price]]&lt;=2000,"mid_range","premium"))</f>
        <v>Budget</v>
      </c>
      <c r="K54" t="str">
        <f>IF(Table1[[#This Row],[Disount amount]]&lt;1000,"low discount",IF(Table1[[#This Row],[Disount amount]]&lt;=2000,"medium discount","high discount"))</f>
        <v>low discount</v>
      </c>
    </row>
    <row r="55" spans="1:11" x14ac:dyDescent="0.25">
      <c r="A55" t="s">
        <v>165</v>
      </c>
      <c r="B55" s="2">
        <v>1459</v>
      </c>
      <c r="C55" s="2">
        <v>1499</v>
      </c>
      <c r="D55" s="2">
        <v>40</v>
      </c>
      <c r="E55" s="1">
        <v>0.03</v>
      </c>
      <c r="F55">
        <v>0</v>
      </c>
      <c r="G55">
        <v>0</v>
      </c>
      <c r="H55" t="str">
        <f t="shared" si="0"/>
        <v>no rating</v>
      </c>
      <c r="I55" t="str">
        <f t="shared" si="1"/>
        <v>low</v>
      </c>
      <c r="J55" t="str">
        <f>IF(Table1[[#This Row],[Current price]]&lt;1000,"Budget",IF(Table1[[#This Row],[Current price]]&lt;=2000,"mid_range","premium"))</f>
        <v>mid_range</v>
      </c>
      <c r="K55" t="str">
        <f>IF(Table1[[#This Row],[Disount amount]]&lt;1000,"low discount",IF(Table1[[#This Row],[Disount amount]]&lt;=2000,"medium discount","high discount"))</f>
        <v>low discount</v>
      </c>
    </row>
    <row r="56" spans="1:11" x14ac:dyDescent="0.25">
      <c r="A56" t="s">
        <v>168</v>
      </c>
      <c r="B56">
        <v>799</v>
      </c>
      <c r="C56" s="2">
        <v>1343</v>
      </c>
      <c r="D56" s="2">
        <v>544</v>
      </c>
      <c r="E56" s="1">
        <v>0.41</v>
      </c>
      <c r="F56">
        <v>0</v>
      </c>
      <c r="G56">
        <v>0</v>
      </c>
      <c r="H56" t="str">
        <f t="shared" si="0"/>
        <v>no rating</v>
      </c>
      <c r="I56" t="str">
        <f t="shared" si="1"/>
        <v>high</v>
      </c>
      <c r="J56" t="str">
        <f>IF(Table1[[#This Row],[Current price]]&lt;1000,"Budget",IF(Table1[[#This Row],[Current price]]&lt;=2000,"mid_range","premium"))</f>
        <v>Budget</v>
      </c>
      <c r="K56" t="str">
        <f>IF(Table1[[#This Row],[Disount amount]]&lt;1000,"low discount",IF(Table1[[#This Row],[Disount amount]]&lt;=2000,"medium discount","high discount"))</f>
        <v>low discount</v>
      </c>
    </row>
    <row r="57" spans="1:11" x14ac:dyDescent="0.25">
      <c r="A57" t="s">
        <v>170</v>
      </c>
      <c r="B57">
        <v>499</v>
      </c>
      <c r="C57">
        <v>900</v>
      </c>
      <c r="D57" s="2">
        <v>401</v>
      </c>
      <c r="E57" s="1">
        <v>0.45</v>
      </c>
      <c r="F57">
        <v>0</v>
      </c>
      <c r="G57">
        <v>0</v>
      </c>
      <c r="H57" t="str">
        <f t="shared" si="0"/>
        <v>no rating</v>
      </c>
      <c r="I57" t="str">
        <f t="shared" si="1"/>
        <v>high</v>
      </c>
      <c r="J57" t="str">
        <f>IF(Table1[[#This Row],[Current price]]&lt;1000,"Budget",IF(Table1[[#This Row],[Current price]]&lt;=2000,"mid_range","premium"))</f>
        <v>Budget</v>
      </c>
      <c r="K57" t="str">
        <f>IF(Table1[[#This Row],[Disount amount]]&lt;1000,"low discount",IF(Table1[[#This Row],[Disount amount]]&lt;=2000,"medium discount","high discount"))</f>
        <v>low discount</v>
      </c>
    </row>
    <row r="58" spans="1:11" x14ac:dyDescent="0.25">
      <c r="A58" t="s">
        <v>173</v>
      </c>
      <c r="B58">
        <v>699</v>
      </c>
      <c r="C58" s="2">
        <v>1343</v>
      </c>
      <c r="D58" s="2">
        <v>644</v>
      </c>
      <c r="E58" s="1">
        <v>0.48</v>
      </c>
      <c r="F58">
        <v>0</v>
      </c>
      <c r="G58">
        <v>0</v>
      </c>
      <c r="H58" t="str">
        <f t="shared" si="0"/>
        <v>no rating</v>
      </c>
      <c r="I58" t="str">
        <f t="shared" si="1"/>
        <v>high</v>
      </c>
      <c r="J58" t="str">
        <f>IF(Table1[[#This Row],[Current price]]&lt;1000,"Budget",IF(Table1[[#This Row],[Current price]]&lt;=2000,"mid_range","premium"))</f>
        <v>Budget</v>
      </c>
      <c r="K58" t="str">
        <f>IF(Table1[[#This Row],[Disount amount]]&lt;1000,"low discount",IF(Table1[[#This Row],[Disount amount]]&lt;=2000,"medium discount","high discount"))</f>
        <v>low discount</v>
      </c>
    </row>
    <row r="59" spans="1:11" x14ac:dyDescent="0.25">
      <c r="A59" t="s">
        <v>175</v>
      </c>
      <c r="B59">
        <v>799</v>
      </c>
      <c r="C59" s="2">
        <v>1567</v>
      </c>
      <c r="D59" s="2">
        <v>768</v>
      </c>
      <c r="E59" s="1">
        <v>0.49</v>
      </c>
      <c r="F59">
        <v>0</v>
      </c>
      <c r="G59">
        <v>0</v>
      </c>
      <c r="H59" t="str">
        <f t="shared" si="0"/>
        <v>no rating</v>
      </c>
      <c r="I59" t="str">
        <f t="shared" si="1"/>
        <v>high</v>
      </c>
      <c r="J59" t="str">
        <f>IF(Table1[[#This Row],[Current price]]&lt;1000,"Budget",IF(Table1[[#This Row],[Current price]]&lt;=2000,"mid_range","premium"))</f>
        <v>Budget</v>
      </c>
      <c r="K59" t="str">
        <f>IF(Table1[[#This Row],[Disount amount]]&lt;1000,"low discount",IF(Table1[[#This Row],[Disount amount]]&lt;=2000,"medium discount","high discount"))</f>
        <v>low discount</v>
      </c>
    </row>
    <row r="60" spans="1:11" x14ac:dyDescent="0.25">
      <c r="A60" t="s">
        <v>177</v>
      </c>
      <c r="B60" s="2">
        <v>2799</v>
      </c>
      <c r="C60" s="2">
        <v>3810</v>
      </c>
      <c r="D60" s="2">
        <v>1011</v>
      </c>
      <c r="E60" s="1">
        <v>0.27</v>
      </c>
      <c r="F60">
        <v>0</v>
      </c>
      <c r="G60">
        <v>0</v>
      </c>
      <c r="H60" t="str">
        <f t="shared" si="0"/>
        <v>no rating</v>
      </c>
      <c r="I60" t="str">
        <f t="shared" si="1"/>
        <v>medium</v>
      </c>
      <c r="J60" t="str">
        <f>IF(Table1[[#This Row],[Current price]]&lt;1000,"Budget",IF(Table1[[#This Row],[Current price]]&lt;=2000,"mid_range","premium"))</f>
        <v>premium</v>
      </c>
      <c r="K60" t="str">
        <f>IF(Table1[[#This Row],[Disount amount]]&lt;1000,"low discount",IF(Table1[[#This Row],[Disount amount]]&lt;=2000,"medium discount","high discount"))</f>
        <v>medium discount</v>
      </c>
    </row>
    <row r="61" spans="1:11" x14ac:dyDescent="0.25">
      <c r="A61" t="s">
        <v>170</v>
      </c>
      <c r="B61">
        <v>399</v>
      </c>
      <c r="C61">
        <v>896</v>
      </c>
      <c r="D61" s="2">
        <v>497</v>
      </c>
      <c r="E61" s="1">
        <v>0.55000000000000004</v>
      </c>
      <c r="F61">
        <v>0</v>
      </c>
      <c r="G61">
        <v>0</v>
      </c>
      <c r="H61" t="str">
        <f t="shared" si="0"/>
        <v>no rating</v>
      </c>
      <c r="I61" t="str">
        <f t="shared" si="1"/>
        <v>high</v>
      </c>
      <c r="J61" t="str">
        <f>IF(Table1[[#This Row],[Current price]]&lt;1000,"Budget",IF(Table1[[#This Row],[Current price]]&lt;=2000,"mid_range","premium"))</f>
        <v>Budget</v>
      </c>
      <c r="K61" t="str">
        <f>IF(Table1[[#This Row],[Disount amount]]&lt;1000,"low discount",IF(Table1[[#This Row],[Disount amount]]&lt;=2000,"medium discount","high discount"))</f>
        <v>low discount</v>
      </c>
    </row>
    <row r="62" spans="1:11" x14ac:dyDescent="0.25">
      <c r="A62" t="s">
        <v>182</v>
      </c>
      <c r="B62" s="2">
        <v>2170</v>
      </c>
      <c r="C62" s="2">
        <v>2500</v>
      </c>
      <c r="D62" s="2">
        <v>330</v>
      </c>
      <c r="E62" s="1">
        <v>0.13</v>
      </c>
      <c r="F62">
        <v>6</v>
      </c>
      <c r="G62">
        <v>2.5</v>
      </c>
      <c r="H62" t="str">
        <f t="shared" si="0"/>
        <v>poor</v>
      </c>
      <c r="I62" t="str">
        <f t="shared" si="1"/>
        <v>low</v>
      </c>
      <c r="J62" t="str">
        <f>IF(Table1[[#This Row],[Current price]]&lt;1000,"Budget",IF(Table1[[#This Row],[Current price]]&lt;=2000,"mid_range","premium"))</f>
        <v>premium</v>
      </c>
      <c r="K62" t="str">
        <f>IF(Table1[[#This Row],[Disount amount]]&lt;1000,"low discount",IF(Table1[[#This Row],[Disount amount]]&lt;=2000,"medium discount","high discount"))</f>
        <v>low discount</v>
      </c>
    </row>
    <row r="63" spans="1:11" x14ac:dyDescent="0.25">
      <c r="A63" t="s">
        <v>186</v>
      </c>
      <c r="B63">
        <v>458</v>
      </c>
      <c r="C63">
        <v>986</v>
      </c>
      <c r="D63" s="2">
        <v>528</v>
      </c>
      <c r="E63" s="1">
        <v>0.54</v>
      </c>
      <c r="F63">
        <v>10</v>
      </c>
      <c r="G63">
        <v>3</v>
      </c>
      <c r="H63" t="str">
        <f t="shared" si="0"/>
        <v>average</v>
      </c>
      <c r="I63" t="str">
        <f t="shared" si="1"/>
        <v>high</v>
      </c>
      <c r="J63" t="str">
        <f>IF(Table1[[#This Row],[Current price]]&lt;1000,"Budget",IF(Table1[[#This Row],[Current price]]&lt;=2000,"mid_range","premium"))</f>
        <v>Budget</v>
      </c>
      <c r="K63" t="str">
        <f>IF(Table1[[#This Row],[Disount amount]]&lt;1000,"low discount",IF(Table1[[#This Row],[Disount amount]]&lt;=2000,"medium discount","high discount"))</f>
        <v>low discount</v>
      </c>
    </row>
    <row r="64" spans="1:11" x14ac:dyDescent="0.25">
      <c r="A64" t="s">
        <v>190</v>
      </c>
      <c r="B64" s="2">
        <v>2115</v>
      </c>
      <c r="C64" s="2">
        <v>4700</v>
      </c>
      <c r="D64" s="2">
        <v>2585</v>
      </c>
      <c r="E64" s="1">
        <v>0.55000000000000004</v>
      </c>
      <c r="F64">
        <v>13</v>
      </c>
      <c r="G64">
        <v>2.1</v>
      </c>
      <c r="H64" t="str">
        <f t="shared" si="0"/>
        <v>poor</v>
      </c>
      <c r="I64" t="str">
        <f t="shared" si="1"/>
        <v>high</v>
      </c>
      <c r="J64" t="str">
        <f>IF(Table1[[#This Row],[Current price]]&lt;1000,"Budget",IF(Table1[[#This Row],[Current price]]&lt;=2000,"mid_range","premium"))</f>
        <v>premium</v>
      </c>
      <c r="K64" t="str">
        <f>IF(Table1[[#This Row],[Disount amount]]&lt;1000,"low discount",IF(Table1[[#This Row],[Disount amount]]&lt;=2000,"medium discount","high discount"))</f>
        <v>high discount</v>
      </c>
    </row>
    <row r="65" spans="1:11" x14ac:dyDescent="0.25">
      <c r="A65" t="s">
        <v>194</v>
      </c>
      <c r="B65">
        <v>445</v>
      </c>
      <c r="C65">
        <v>873</v>
      </c>
      <c r="D65" s="2">
        <v>428</v>
      </c>
      <c r="E65" s="1">
        <v>0.49</v>
      </c>
      <c r="F65">
        <v>69</v>
      </c>
      <c r="G65">
        <v>2.8</v>
      </c>
      <c r="H65" t="str">
        <f t="shared" si="0"/>
        <v>poor</v>
      </c>
      <c r="I65" t="str">
        <f t="shared" si="1"/>
        <v>high</v>
      </c>
      <c r="J65" t="str">
        <f>IF(Table1[[#This Row],[Current price]]&lt;1000,"Budget",IF(Table1[[#This Row],[Current price]]&lt;=2000,"mid_range","premium"))</f>
        <v>Budget</v>
      </c>
      <c r="K65" t="str">
        <f>IF(Table1[[#This Row],[Disount amount]]&lt;1000,"low discount",IF(Table1[[#This Row],[Disount amount]]&lt;=2000,"medium discount","high discount"))</f>
        <v>low discount</v>
      </c>
    </row>
    <row r="66" spans="1:11" x14ac:dyDescent="0.25">
      <c r="A66" t="s">
        <v>198</v>
      </c>
      <c r="B66">
        <v>325</v>
      </c>
      <c r="C66">
        <v>680</v>
      </c>
      <c r="D66" s="2">
        <v>355</v>
      </c>
      <c r="E66" s="1">
        <v>0.52</v>
      </c>
      <c r="F66">
        <v>15</v>
      </c>
      <c r="G66">
        <v>2.7</v>
      </c>
      <c r="H66" t="str">
        <f t="shared" si="0"/>
        <v>poor</v>
      </c>
      <c r="I66" t="str">
        <f t="shared" si="1"/>
        <v>high</v>
      </c>
      <c r="J66" t="str">
        <f>IF(Table1[[#This Row],[Current price]]&lt;1000,"Budget",IF(Table1[[#This Row],[Current price]]&lt;=2000,"mid_range","premium"))</f>
        <v>Budget</v>
      </c>
      <c r="K66" t="str">
        <f>IF(Table1[[#This Row],[Disount amount]]&lt;1000,"low discount",IF(Table1[[#This Row],[Disount amount]]&lt;=2000,"medium discount","high discount"))</f>
        <v>low discount</v>
      </c>
    </row>
    <row r="67" spans="1:11" x14ac:dyDescent="0.25">
      <c r="A67" t="s">
        <v>202</v>
      </c>
      <c r="B67" s="2">
        <v>1220</v>
      </c>
      <c r="C67" s="2">
        <v>1555</v>
      </c>
      <c r="D67" s="2">
        <v>335</v>
      </c>
      <c r="E67" s="1">
        <v>0.22</v>
      </c>
      <c r="F67">
        <v>16</v>
      </c>
      <c r="G67">
        <v>2.9</v>
      </c>
      <c r="H67" t="str">
        <f t="shared" ref="H67:H116" si="2">IF(G67=0,"no rating",IF(G67&lt;3,"poor",IF(G67&lt;=4.5,"average","excellent")))</f>
        <v>poor</v>
      </c>
      <c r="I67" t="str">
        <f t="shared" ref="I67:I116" si="3">IF(E67&lt;20%,"low",IF(E67&lt;=40%,"medium","high"))</f>
        <v>medium</v>
      </c>
      <c r="J67" t="str">
        <f>IF(Table1[[#This Row],[Current price]]&lt;1000,"Budget",IF(Table1[[#This Row],[Current price]]&lt;=2000,"mid_range","premium"))</f>
        <v>mid_range</v>
      </c>
      <c r="K67" t="str">
        <f>IF(Table1[[#This Row],[Disount amount]]&lt;1000,"low discount",IF(Table1[[#This Row],[Disount amount]]&lt;=2000,"medium discount","high discount"))</f>
        <v>low discount</v>
      </c>
    </row>
    <row r="68" spans="1:11" x14ac:dyDescent="0.25">
      <c r="A68" t="s">
        <v>206</v>
      </c>
      <c r="B68">
        <v>990</v>
      </c>
      <c r="C68" s="2">
        <v>1814</v>
      </c>
      <c r="D68" s="2">
        <v>824</v>
      </c>
      <c r="E68" s="1">
        <v>0.45</v>
      </c>
      <c r="F68">
        <v>6</v>
      </c>
      <c r="G68">
        <v>2.2000000000000002</v>
      </c>
      <c r="H68" t="str">
        <f t="shared" si="2"/>
        <v>poor</v>
      </c>
      <c r="I68" t="str">
        <f t="shared" si="3"/>
        <v>high</v>
      </c>
      <c r="J68" t="str">
        <f>IF(Table1[[#This Row],[Current price]]&lt;1000,"Budget",IF(Table1[[#This Row],[Current price]]&lt;=2000,"mid_range","premium"))</f>
        <v>Budget</v>
      </c>
      <c r="K68" t="str">
        <f>IF(Table1[[#This Row],[Disount amount]]&lt;1000,"low discount",IF(Table1[[#This Row],[Disount amount]]&lt;=2000,"medium discount","high discount"))</f>
        <v>low discount</v>
      </c>
    </row>
    <row r="69" spans="1:11" x14ac:dyDescent="0.25">
      <c r="A69" t="s">
        <v>209</v>
      </c>
      <c r="B69" s="2">
        <v>1000</v>
      </c>
      <c r="C69" s="2">
        <v>2000</v>
      </c>
      <c r="D69" s="2">
        <v>1000</v>
      </c>
      <c r="E69" s="1">
        <v>0.5</v>
      </c>
      <c r="F69">
        <v>7</v>
      </c>
      <c r="G69">
        <v>2.2999999999999998</v>
      </c>
      <c r="H69" t="str">
        <f t="shared" si="2"/>
        <v>poor</v>
      </c>
      <c r="I69" t="str">
        <f t="shared" si="3"/>
        <v>high</v>
      </c>
      <c r="J69" t="str">
        <f>IF(Table1[[#This Row],[Current price]]&lt;1000,"Budget",IF(Table1[[#This Row],[Current price]]&lt;=2000,"mid_range","premium"))</f>
        <v>mid_range</v>
      </c>
      <c r="K69" t="str">
        <f>IF(Table1[[#This Row],[Disount amount]]&lt;1000,"low discount",IF(Table1[[#This Row],[Disount amount]]&lt;=2000,"medium discount","high discount"))</f>
        <v>medium discount</v>
      </c>
    </row>
    <row r="70" spans="1:11" x14ac:dyDescent="0.25">
      <c r="A70" t="s">
        <v>212</v>
      </c>
      <c r="B70" s="2">
        <v>3750</v>
      </c>
      <c r="C70" s="2">
        <v>6143</v>
      </c>
      <c r="D70" s="2">
        <v>2393</v>
      </c>
      <c r="E70" s="1">
        <v>0.39</v>
      </c>
      <c r="F70">
        <v>5</v>
      </c>
      <c r="G70">
        <v>3</v>
      </c>
      <c r="H70" t="str">
        <f t="shared" si="2"/>
        <v>average</v>
      </c>
      <c r="I70" t="str">
        <f t="shared" si="3"/>
        <v>medium</v>
      </c>
      <c r="J70" t="str">
        <f>IF(Table1[[#This Row],[Current price]]&lt;1000,"Budget",IF(Table1[[#This Row],[Current price]]&lt;=2000,"mid_range","premium"))</f>
        <v>premium</v>
      </c>
      <c r="K70" t="str">
        <f>IF(Table1[[#This Row],[Disount amount]]&lt;1000,"low discount",IF(Table1[[#This Row],[Disount amount]]&lt;=2000,"medium discount","high discount"))</f>
        <v>high discount</v>
      </c>
    </row>
    <row r="71" spans="1:11" x14ac:dyDescent="0.25">
      <c r="A71" t="s">
        <v>215</v>
      </c>
      <c r="B71">
        <v>382</v>
      </c>
      <c r="C71">
        <v>700</v>
      </c>
      <c r="D71" s="2">
        <v>318</v>
      </c>
      <c r="E71" s="1">
        <v>0.45</v>
      </c>
      <c r="F71">
        <v>17</v>
      </c>
      <c r="G71">
        <v>2.6</v>
      </c>
      <c r="H71" t="str">
        <f t="shared" si="2"/>
        <v>poor</v>
      </c>
      <c r="I71" t="str">
        <f t="shared" si="3"/>
        <v>high</v>
      </c>
      <c r="J71" t="str">
        <f>IF(Table1[[#This Row],[Current price]]&lt;1000,"Budget",IF(Table1[[#This Row],[Current price]]&lt;=2000,"mid_range","premium"))</f>
        <v>Budget</v>
      </c>
      <c r="K71" t="str">
        <f>IF(Table1[[#This Row],[Disount amount]]&lt;1000,"low discount",IF(Table1[[#This Row],[Disount amount]]&lt;=2000,"medium discount","high discount"))</f>
        <v>low discount</v>
      </c>
    </row>
    <row r="72" spans="1:11" x14ac:dyDescent="0.25">
      <c r="A72" t="s">
        <v>218</v>
      </c>
      <c r="B72" s="2">
        <v>2300</v>
      </c>
      <c r="C72" s="2">
        <v>3240</v>
      </c>
      <c r="D72" s="2">
        <v>940</v>
      </c>
      <c r="E72" s="1">
        <v>0.28999999999999998</v>
      </c>
      <c r="F72">
        <v>5</v>
      </c>
      <c r="G72">
        <v>3</v>
      </c>
      <c r="H72" t="str">
        <f t="shared" si="2"/>
        <v>average</v>
      </c>
      <c r="I72" t="str">
        <f t="shared" si="3"/>
        <v>medium</v>
      </c>
      <c r="J72" t="str">
        <f>IF(Table1[[#This Row],[Current price]]&lt;1000,"Budget",IF(Table1[[#This Row],[Current price]]&lt;=2000,"mid_range","premium"))</f>
        <v>premium</v>
      </c>
      <c r="K72" t="str">
        <f>IF(Table1[[#This Row],[Disount amount]]&lt;1000,"low discount",IF(Table1[[#This Row],[Disount amount]]&lt;=2000,"medium discount","high discount"))</f>
        <v>low discount</v>
      </c>
    </row>
    <row r="73" spans="1:11" x14ac:dyDescent="0.25">
      <c r="A73" t="s">
        <v>221</v>
      </c>
      <c r="B73">
        <v>345</v>
      </c>
      <c r="C73">
        <v>602</v>
      </c>
      <c r="D73" s="2">
        <v>257</v>
      </c>
      <c r="E73" s="1">
        <v>0.43</v>
      </c>
      <c r="F73">
        <v>6</v>
      </c>
      <c r="G73">
        <v>2.2999999999999998</v>
      </c>
      <c r="H73" t="str">
        <f t="shared" si="2"/>
        <v>poor</v>
      </c>
      <c r="I73" t="str">
        <f t="shared" si="3"/>
        <v>high</v>
      </c>
      <c r="J73" t="str">
        <f>IF(Table1[[#This Row],[Current price]]&lt;1000,"Budget",IF(Table1[[#This Row],[Current price]]&lt;=2000,"mid_range","premium"))</f>
        <v>Budget</v>
      </c>
      <c r="K73" t="str">
        <f>IF(Table1[[#This Row],[Disount amount]]&lt;1000,"low discount",IF(Table1[[#This Row],[Disount amount]]&lt;=2000,"medium discount","high discount"))</f>
        <v>low discount</v>
      </c>
    </row>
    <row r="74" spans="1:11" x14ac:dyDescent="0.25">
      <c r="A74" t="s">
        <v>224</v>
      </c>
      <c r="B74">
        <v>509</v>
      </c>
      <c r="C74">
        <v>899</v>
      </c>
      <c r="D74" s="2">
        <v>390</v>
      </c>
      <c r="E74" s="1">
        <v>0.43</v>
      </c>
      <c r="F74">
        <v>5</v>
      </c>
      <c r="G74">
        <v>3</v>
      </c>
      <c r="H74" t="str">
        <f t="shared" si="2"/>
        <v>average</v>
      </c>
      <c r="I74" t="str">
        <f t="shared" si="3"/>
        <v>high</v>
      </c>
      <c r="J74" t="str">
        <f>IF(Table1[[#This Row],[Current price]]&lt;1000,"Budget",IF(Table1[[#This Row],[Current price]]&lt;=2000,"mid_range","premium"))</f>
        <v>Budget</v>
      </c>
      <c r="K74" t="str">
        <f>IF(Table1[[#This Row],[Disount amount]]&lt;1000,"low discount",IF(Table1[[#This Row],[Disount amount]]&lt;=2000,"medium discount","high discount"))</f>
        <v>low discount</v>
      </c>
    </row>
    <row r="75" spans="1:11" x14ac:dyDescent="0.25">
      <c r="A75" t="s">
        <v>227</v>
      </c>
      <c r="B75">
        <v>968</v>
      </c>
      <c r="C75" s="2">
        <v>1814</v>
      </c>
      <c r="D75" s="2">
        <v>846</v>
      </c>
      <c r="E75" s="1">
        <v>0.47</v>
      </c>
      <c r="F75">
        <v>6</v>
      </c>
      <c r="G75">
        <v>2.2000000000000002</v>
      </c>
      <c r="H75" t="str">
        <f t="shared" si="2"/>
        <v>poor</v>
      </c>
      <c r="I75" t="str">
        <f t="shared" si="3"/>
        <v>high</v>
      </c>
      <c r="J75" t="str">
        <f>IF(Table1[[#This Row],[Current price]]&lt;1000,"Budget",IF(Table1[[#This Row],[Current price]]&lt;=2000,"mid_range","premium"))</f>
        <v>Budget</v>
      </c>
      <c r="K75" t="str">
        <f>IF(Table1[[#This Row],[Disount amount]]&lt;1000,"low discount",IF(Table1[[#This Row],[Disount amount]]&lt;=2000,"medium discount","high discount"))</f>
        <v>low discount</v>
      </c>
    </row>
    <row r="76" spans="1:11" x14ac:dyDescent="0.25">
      <c r="A76" t="s">
        <v>229</v>
      </c>
      <c r="B76" s="2">
        <v>1570</v>
      </c>
      <c r="C76" s="2">
        <v>2988</v>
      </c>
      <c r="D76" s="2">
        <v>1418</v>
      </c>
      <c r="E76" s="1">
        <v>0.47</v>
      </c>
      <c r="F76">
        <v>7</v>
      </c>
      <c r="G76">
        <v>2.1</v>
      </c>
      <c r="H76" t="str">
        <f t="shared" si="2"/>
        <v>poor</v>
      </c>
      <c r="I76" t="str">
        <f t="shared" si="3"/>
        <v>high</v>
      </c>
      <c r="J76" t="str">
        <f>IF(Table1[[#This Row],[Current price]]&lt;1000,"Budget",IF(Table1[[#This Row],[Current price]]&lt;=2000,"mid_range","premium"))</f>
        <v>mid_range</v>
      </c>
      <c r="K76" t="str">
        <f>IF(Table1[[#This Row],[Disount amount]]&lt;1000,"low discount",IF(Table1[[#This Row],[Disount amount]]&lt;=2000,"medium discount","high discount"))</f>
        <v>medium discount</v>
      </c>
    </row>
    <row r="77" spans="1:11" x14ac:dyDescent="0.25">
      <c r="A77" t="s">
        <v>232</v>
      </c>
      <c r="B77">
        <v>790</v>
      </c>
      <c r="C77" s="2">
        <v>1485</v>
      </c>
      <c r="D77" s="2">
        <v>695</v>
      </c>
      <c r="E77" s="1">
        <v>0.47</v>
      </c>
      <c r="F77">
        <v>0</v>
      </c>
      <c r="G77">
        <v>0</v>
      </c>
      <c r="H77" t="str">
        <f t="shared" si="2"/>
        <v>no rating</v>
      </c>
      <c r="I77" t="str">
        <f t="shared" si="3"/>
        <v>high</v>
      </c>
      <c r="J77" t="str">
        <f>IF(Table1[[#This Row],[Current price]]&lt;1000,"Budget",IF(Table1[[#This Row],[Current price]]&lt;=2000,"mid_range","premium"))</f>
        <v>Budget</v>
      </c>
      <c r="K77" t="str">
        <f>IF(Table1[[#This Row],[Disount amount]]&lt;1000,"low discount",IF(Table1[[#This Row],[Disount amount]]&lt;=2000,"medium discount","high discount"))</f>
        <v>low discount</v>
      </c>
    </row>
    <row r="78" spans="1:11" x14ac:dyDescent="0.25">
      <c r="A78" t="s">
        <v>235</v>
      </c>
      <c r="B78">
        <v>690</v>
      </c>
      <c r="C78" s="2">
        <v>1200</v>
      </c>
      <c r="D78" s="2">
        <v>510</v>
      </c>
      <c r="E78" s="1">
        <v>0.43</v>
      </c>
      <c r="F78">
        <v>0</v>
      </c>
      <c r="G78">
        <v>0</v>
      </c>
      <c r="H78" t="str">
        <f t="shared" si="2"/>
        <v>no rating</v>
      </c>
      <c r="I78" t="str">
        <f t="shared" si="3"/>
        <v>high</v>
      </c>
      <c r="J78" t="str">
        <f>IF(Table1[[#This Row],[Current price]]&lt;1000,"Budget",IF(Table1[[#This Row],[Current price]]&lt;=2000,"mid_range","premium"))</f>
        <v>Budget</v>
      </c>
      <c r="K78" t="str">
        <f>IF(Table1[[#This Row],[Disount amount]]&lt;1000,"low discount",IF(Table1[[#This Row],[Disount amount]]&lt;=2000,"medium discount","high discount"))</f>
        <v>low discount</v>
      </c>
    </row>
    <row r="79" spans="1:11" x14ac:dyDescent="0.25">
      <c r="A79" t="s">
        <v>237</v>
      </c>
      <c r="B79" s="2">
        <v>1732</v>
      </c>
      <c r="C79" s="2">
        <v>1799</v>
      </c>
      <c r="D79" s="2">
        <v>67</v>
      </c>
      <c r="E79" s="1">
        <v>0.04</v>
      </c>
      <c r="F79">
        <v>0</v>
      </c>
      <c r="G79">
        <v>0</v>
      </c>
      <c r="H79" t="str">
        <f t="shared" si="2"/>
        <v>no rating</v>
      </c>
      <c r="I79" t="str">
        <f t="shared" si="3"/>
        <v>low</v>
      </c>
      <c r="J79" t="str">
        <f>IF(Table1[[#This Row],[Current price]]&lt;1000,"Budget",IF(Table1[[#This Row],[Current price]]&lt;=2000,"mid_range","premium"))</f>
        <v>mid_range</v>
      </c>
      <c r="K79" t="str">
        <f>IF(Table1[[#This Row],[Disount amount]]&lt;1000,"low discount",IF(Table1[[#This Row],[Disount amount]]&lt;=2000,"medium discount","high discount"))</f>
        <v>low discount</v>
      </c>
    </row>
    <row r="80" spans="1:11" x14ac:dyDescent="0.25">
      <c r="A80" t="s">
        <v>240</v>
      </c>
      <c r="B80">
        <v>230</v>
      </c>
      <c r="C80">
        <v>450</v>
      </c>
      <c r="D80" s="2">
        <v>220</v>
      </c>
      <c r="E80" s="1">
        <v>0.49</v>
      </c>
      <c r="F80">
        <v>0</v>
      </c>
      <c r="G80">
        <v>0</v>
      </c>
      <c r="H80" t="str">
        <f t="shared" si="2"/>
        <v>no rating</v>
      </c>
      <c r="I80" t="str">
        <f t="shared" si="3"/>
        <v>high</v>
      </c>
      <c r="J80" t="str">
        <f>IF(Table1[[#This Row],[Current price]]&lt;1000,"Budget",IF(Table1[[#This Row],[Current price]]&lt;=2000,"mid_range","premium"))</f>
        <v>Budget</v>
      </c>
      <c r="K80" t="str">
        <f>IF(Table1[[#This Row],[Disount amount]]&lt;1000,"low discount",IF(Table1[[#This Row],[Disount amount]]&lt;=2000,"medium discount","high discount"))</f>
        <v>low discount</v>
      </c>
    </row>
    <row r="81" spans="1:11" x14ac:dyDescent="0.25">
      <c r="A81" t="s">
        <v>243</v>
      </c>
      <c r="B81" s="2">
        <v>1189</v>
      </c>
      <c r="C81" s="2">
        <v>2199</v>
      </c>
      <c r="D81" s="2">
        <v>1010</v>
      </c>
      <c r="E81" s="1">
        <v>0.46</v>
      </c>
      <c r="F81">
        <v>1</v>
      </c>
      <c r="G81">
        <v>3</v>
      </c>
      <c r="H81" t="str">
        <f t="shared" si="2"/>
        <v>average</v>
      </c>
      <c r="I81" t="str">
        <f t="shared" si="3"/>
        <v>high</v>
      </c>
      <c r="J81" t="str">
        <f>IF(Table1[[#This Row],[Current price]]&lt;1000,"Budget",IF(Table1[[#This Row],[Current price]]&lt;=2000,"mid_range","premium"))</f>
        <v>mid_range</v>
      </c>
      <c r="K81" t="str">
        <f>IF(Table1[[#This Row],[Disount amount]]&lt;1000,"low discount",IF(Table1[[#This Row],[Disount amount]]&lt;=2000,"medium discount","high discount"))</f>
        <v>medium discount</v>
      </c>
    </row>
    <row r="82" spans="1:11" x14ac:dyDescent="0.25">
      <c r="A82" t="s">
        <v>245</v>
      </c>
      <c r="B82">
        <v>979</v>
      </c>
      <c r="C82" s="2">
        <v>1920</v>
      </c>
      <c r="D82" s="2">
        <v>941</v>
      </c>
      <c r="E82" s="1">
        <v>0.49</v>
      </c>
      <c r="F82">
        <v>1</v>
      </c>
      <c r="G82">
        <v>5</v>
      </c>
      <c r="H82" t="str">
        <f t="shared" si="2"/>
        <v>excellent</v>
      </c>
      <c r="I82" t="str">
        <f t="shared" si="3"/>
        <v>high</v>
      </c>
      <c r="J82" t="str">
        <f>IF(Table1[[#This Row],[Current price]]&lt;1000,"Budget",IF(Table1[[#This Row],[Current price]]&lt;=2000,"mid_range","premium"))</f>
        <v>Budget</v>
      </c>
      <c r="K82" t="str">
        <f>IF(Table1[[#This Row],[Disount amount]]&lt;1000,"low discount",IF(Table1[[#This Row],[Disount amount]]&lt;=2000,"medium discount","high discount"))</f>
        <v>low discount</v>
      </c>
    </row>
    <row r="83" spans="1:11" x14ac:dyDescent="0.25">
      <c r="A83" t="s">
        <v>248</v>
      </c>
      <c r="B83" s="2">
        <v>1460</v>
      </c>
      <c r="C83" s="2">
        <v>2290</v>
      </c>
      <c r="D83" s="2">
        <v>830</v>
      </c>
      <c r="E83" s="1">
        <v>0.36</v>
      </c>
      <c r="F83">
        <v>0</v>
      </c>
      <c r="G83">
        <v>0</v>
      </c>
      <c r="H83" t="str">
        <f t="shared" si="2"/>
        <v>no rating</v>
      </c>
      <c r="I83" t="str">
        <f t="shared" si="3"/>
        <v>medium</v>
      </c>
      <c r="J83" t="str">
        <f>IF(Table1[[#This Row],[Current price]]&lt;1000,"Budget",IF(Table1[[#This Row],[Current price]]&lt;=2000,"mid_range","premium"))</f>
        <v>mid_range</v>
      </c>
      <c r="K83" t="str">
        <f>IF(Table1[[#This Row],[Disount amount]]&lt;1000,"low discount",IF(Table1[[#This Row],[Disount amount]]&lt;=2000,"medium discount","high discount"))</f>
        <v>low discount</v>
      </c>
    </row>
    <row r="84" spans="1:11" x14ac:dyDescent="0.25">
      <c r="A84" t="s">
        <v>251</v>
      </c>
      <c r="B84" s="2">
        <v>1666</v>
      </c>
      <c r="C84" s="2">
        <v>1699</v>
      </c>
      <c r="D84" s="2">
        <v>33</v>
      </c>
      <c r="E84" s="1">
        <v>0.02</v>
      </c>
      <c r="F84">
        <v>0</v>
      </c>
      <c r="G84">
        <v>0</v>
      </c>
      <c r="H84" t="str">
        <f t="shared" si="2"/>
        <v>no rating</v>
      </c>
      <c r="I84" t="str">
        <f t="shared" si="3"/>
        <v>low</v>
      </c>
      <c r="J84" t="str">
        <f>IF(Table1[[#This Row],[Current price]]&lt;1000,"Budget",IF(Table1[[#This Row],[Current price]]&lt;=2000,"mid_range","premium"))</f>
        <v>mid_range</v>
      </c>
      <c r="K84" t="str">
        <f>IF(Table1[[#This Row],[Disount amount]]&lt;1000,"low discount",IF(Table1[[#This Row],[Disount amount]]&lt;=2000,"medium discount","high discount"))</f>
        <v>low discount</v>
      </c>
    </row>
    <row r="85" spans="1:11" x14ac:dyDescent="0.25">
      <c r="A85" t="s">
        <v>253</v>
      </c>
      <c r="B85">
        <v>330</v>
      </c>
      <c r="C85">
        <v>647</v>
      </c>
      <c r="D85" s="2">
        <v>317</v>
      </c>
      <c r="E85" s="1">
        <v>0.49</v>
      </c>
      <c r="F85">
        <v>1</v>
      </c>
      <c r="G85">
        <v>4</v>
      </c>
      <c r="H85" t="str">
        <f t="shared" si="2"/>
        <v>average</v>
      </c>
      <c r="I85" t="str">
        <f t="shared" si="3"/>
        <v>high</v>
      </c>
      <c r="J85" t="str">
        <f>IF(Table1[[#This Row],[Current price]]&lt;1000,"Budget",IF(Table1[[#This Row],[Current price]]&lt;=2000,"mid_range","premium"))</f>
        <v>Budget</v>
      </c>
      <c r="K85" t="str">
        <f>IF(Table1[[#This Row],[Disount amount]]&lt;1000,"low discount",IF(Table1[[#This Row],[Disount amount]]&lt;=2000,"medium discount","high discount"))</f>
        <v>low discount</v>
      </c>
    </row>
    <row r="86" spans="1:11" x14ac:dyDescent="0.25">
      <c r="A86" t="s">
        <v>137</v>
      </c>
      <c r="B86">
        <v>610</v>
      </c>
      <c r="C86" s="2">
        <v>1060</v>
      </c>
      <c r="D86" s="2">
        <v>450</v>
      </c>
      <c r="E86" s="1">
        <v>0.42</v>
      </c>
      <c r="F86">
        <v>0</v>
      </c>
      <c r="G86">
        <v>0</v>
      </c>
      <c r="H86" t="str">
        <f t="shared" si="2"/>
        <v>no rating</v>
      </c>
      <c r="I86" t="str">
        <f t="shared" si="3"/>
        <v>high</v>
      </c>
      <c r="J86" t="str">
        <f>IF(Table1[[#This Row],[Current price]]&lt;1000,"Budget",IF(Table1[[#This Row],[Current price]]&lt;=2000,"mid_range","premium"))</f>
        <v>Budget</v>
      </c>
      <c r="K86" t="str">
        <f>IF(Table1[[#This Row],[Disount amount]]&lt;1000,"low discount",IF(Table1[[#This Row],[Disount amount]]&lt;=2000,"medium discount","high discount"))</f>
        <v>low discount</v>
      </c>
    </row>
    <row r="87" spans="1:11" x14ac:dyDescent="0.25">
      <c r="A87" t="s">
        <v>154</v>
      </c>
      <c r="B87">
        <v>176</v>
      </c>
      <c r="C87">
        <v>345</v>
      </c>
      <c r="D87" s="2">
        <v>169</v>
      </c>
      <c r="E87" s="1">
        <v>0.49</v>
      </c>
      <c r="F87">
        <v>0</v>
      </c>
      <c r="G87">
        <v>0</v>
      </c>
      <c r="H87" t="str">
        <f t="shared" si="2"/>
        <v>no rating</v>
      </c>
      <c r="I87" t="str">
        <f t="shared" si="3"/>
        <v>high</v>
      </c>
      <c r="J87" t="str">
        <f>IF(Table1[[#This Row],[Current price]]&lt;1000,"Budget",IF(Table1[[#This Row],[Current price]]&lt;=2000,"mid_range","premium"))</f>
        <v>Budget</v>
      </c>
      <c r="K87" t="str">
        <f>IF(Table1[[#This Row],[Disount amount]]&lt;1000,"low discount",IF(Table1[[#This Row],[Disount amount]]&lt;=2000,"medium discount","high discount"))</f>
        <v>low discount</v>
      </c>
    </row>
    <row r="88" spans="1:11" x14ac:dyDescent="0.25">
      <c r="A88" t="s">
        <v>256</v>
      </c>
      <c r="B88" s="2">
        <v>1466</v>
      </c>
      <c r="C88" s="2">
        <v>1699</v>
      </c>
      <c r="D88" s="2">
        <v>233</v>
      </c>
      <c r="E88" s="1">
        <v>0.14000000000000001</v>
      </c>
      <c r="F88">
        <v>0</v>
      </c>
      <c r="G88">
        <v>0</v>
      </c>
      <c r="H88" t="str">
        <f t="shared" si="2"/>
        <v>no rating</v>
      </c>
      <c r="I88" t="str">
        <f t="shared" si="3"/>
        <v>low</v>
      </c>
      <c r="J88" t="str">
        <f>IF(Table1[[#This Row],[Current price]]&lt;1000,"Budget",IF(Table1[[#This Row],[Current price]]&lt;=2000,"mid_range","premium"))</f>
        <v>mid_range</v>
      </c>
      <c r="K88" t="str">
        <f>IF(Table1[[#This Row],[Disount amount]]&lt;1000,"low discount",IF(Table1[[#This Row],[Disount amount]]&lt;=2000,"medium discount","high discount"))</f>
        <v>low discount</v>
      </c>
    </row>
    <row r="89" spans="1:11" x14ac:dyDescent="0.25">
      <c r="A89" t="s">
        <v>258</v>
      </c>
      <c r="B89">
        <v>274</v>
      </c>
      <c r="C89">
        <v>537</v>
      </c>
      <c r="D89" s="2">
        <v>263</v>
      </c>
      <c r="E89" s="1">
        <v>0.49</v>
      </c>
      <c r="F89">
        <v>0</v>
      </c>
      <c r="G89">
        <v>0</v>
      </c>
      <c r="H89" t="str">
        <f t="shared" si="2"/>
        <v>no rating</v>
      </c>
      <c r="I89" t="str">
        <f t="shared" si="3"/>
        <v>high</v>
      </c>
      <c r="J89" t="str">
        <f>IF(Table1[[#This Row],[Current price]]&lt;1000,"Budget",IF(Table1[[#This Row],[Current price]]&lt;=2000,"mid_range","premium"))</f>
        <v>Budget</v>
      </c>
      <c r="K89" t="str">
        <f>IF(Table1[[#This Row],[Disount amount]]&lt;1000,"low discount",IF(Table1[[#This Row],[Disount amount]]&lt;=2000,"medium discount","high discount"))</f>
        <v>low discount</v>
      </c>
    </row>
    <row r="90" spans="1:11" x14ac:dyDescent="0.25">
      <c r="A90" t="s">
        <v>261</v>
      </c>
      <c r="B90">
        <v>799</v>
      </c>
      <c r="C90">
        <v>900</v>
      </c>
      <c r="D90" s="2">
        <v>101</v>
      </c>
      <c r="E90" s="1">
        <v>0.11</v>
      </c>
      <c r="F90">
        <v>0</v>
      </c>
      <c r="G90">
        <v>0</v>
      </c>
      <c r="H90" t="str">
        <f t="shared" si="2"/>
        <v>no rating</v>
      </c>
      <c r="I90" t="str">
        <f t="shared" si="3"/>
        <v>low</v>
      </c>
      <c r="J90" t="str">
        <f>IF(Table1[[#This Row],[Current price]]&lt;1000,"Budget",IF(Table1[[#This Row],[Current price]]&lt;=2000,"mid_range","premium"))</f>
        <v>Budget</v>
      </c>
      <c r="K90" t="str">
        <f>IF(Table1[[#This Row],[Disount amount]]&lt;1000,"low discount",IF(Table1[[#This Row],[Disount amount]]&lt;=2000,"medium discount","high discount"))</f>
        <v>low discount</v>
      </c>
    </row>
    <row r="91" spans="1:11" x14ac:dyDescent="0.25">
      <c r="A91" t="s">
        <v>175</v>
      </c>
      <c r="B91">
        <v>657</v>
      </c>
      <c r="C91" s="2">
        <v>1288</v>
      </c>
      <c r="D91" s="2">
        <v>631</v>
      </c>
      <c r="E91" s="1">
        <v>0.49</v>
      </c>
      <c r="F91">
        <v>0</v>
      </c>
      <c r="G91">
        <v>0</v>
      </c>
      <c r="H91" t="str">
        <f t="shared" si="2"/>
        <v>no rating</v>
      </c>
      <c r="I91" t="str">
        <f t="shared" si="3"/>
        <v>high</v>
      </c>
      <c r="J91" t="str">
        <f>IF(Table1[[#This Row],[Current price]]&lt;1000,"Budget",IF(Table1[[#This Row],[Current price]]&lt;=2000,"mid_range","premium"))</f>
        <v>Budget</v>
      </c>
      <c r="K91" t="str">
        <f>IF(Table1[[#This Row],[Disount amount]]&lt;1000,"low discount",IF(Table1[[#This Row],[Disount amount]]&lt;=2000,"medium discount","high discount"))</f>
        <v>low discount</v>
      </c>
    </row>
    <row r="92" spans="1:11" x14ac:dyDescent="0.25">
      <c r="A92" t="s">
        <v>264</v>
      </c>
      <c r="B92" s="2">
        <v>1468</v>
      </c>
      <c r="C92" s="2">
        <v>1699</v>
      </c>
      <c r="D92" s="2">
        <v>231</v>
      </c>
      <c r="E92" s="1">
        <v>0.14000000000000001</v>
      </c>
      <c r="F92">
        <v>0</v>
      </c>
      <c r="G92">
        <v>0</v>
      </c>
      <c r="H92" t="str">
        <f t="shared" si="2"/>
        <v>no rating</v>
      </c>
      <c r="I92" t="str">
        <f t="shared" si="3"/>
        <v>low</v>
      </c>
      <c r="J92" t="str">
        <f>IF(Table1[[#This Row],[Current price]]&lt;1000,"Budget",IF(Table1[[#This Row],[Current price]]&lt;=2000,"mid_range","premium"))</f>
        <v>mid_range</v>
      </c>
      <c r="K92" t="str">
        <f>IF(Table1[[#This Row],[Disount amount]]&lt;1000,"low discount",IF(Table1[[#This Row],[Disount amount]]&lt;=2000,"medium discount","high discount"))</f>
        <v>low discount</v>
      </c>
    </row>
    <row r="93" spans="1:11" x14ac:dyDescent="0.25">
      <c r="A93" t="s">
        <v>266</v>
      </c>
      <c r="B93">
        <v>630</v>
      </c>
      <c r="C93" s="2">
        <v>1100</v>
      </c>
      <c r="D93" s="2">
        <v>470</v>
      </c>
      <c r="E93" s="1">
        <v>0.43</v>
      </c>
      <c r="F93">
        <v>0</v>
      </c>
      <c r="G93">
        <v>0</v>
      </c>
      <c r="H93" t="str">
        <f t="shared" si="2"/>
        <v>no rating</v>
      </c>
      <c r="I93" t="str">
        <f t="shared" si="3"/>
        <v>high</v>
      </c>
      <c r="J93" t="str">
        <f>IF(Table1[[#This Row],[Current price]]&lt;1000,"Budget",IF(Table1[[#This Row],[Current price]]&lt;=2000,"mid_range","premium"))</f>
        <v>Budget</v>
      </c>
      <c r="K93" t="str">
        <f>IF(Table1[[#This Row],[Disount amount]]&lt;1000,"low discount",IF(Table1[[#This Row],[Disount amount]]&lt;=2000,"medium discount","high discount"))</f>
        <v>low discount</v>
      </c>
    </row>
    <row r="94" spans="1:11" x14ac:dyDescent="0.25">
      <c r="A94" t="s">
        <v>269</v>
      </c>
      <c r="B94">
        <v>850</v>
      </c>
      <c r="C94" s="2">
        <v>1700</v>
      </c>
      <c r="D94" s="2">
        <v>850</v>
      </c>
      <c r="E94" s="1">
        <v>0.5</v>
      </c>
      <c r="F94">
        <v>0</v>
      </c>
      <c r="G94">
        <v>0</v>
      </c>
      <c r="H94" t="str">
        <f t="shared" si="2"/>
        <v>no rating</v>
      </c>
      <c r="I94" t="str">
        <f t="shared" si="3"/>
        <v>high</v>
      </c>
      <c r="J94" t="str">
        <f>IF(Table1[[#This Row],[Current price]]&lt;1000,"Budget",IF(Table1[[#This Row],[Current price]]&lt;=2000,"mid_range","premium"))</f>
        <v>Budget</v>
      </c>
      <c r="K94" t="str">
        <f>IF(Table1[[#This Row],[Disount amount]]&lt;1000,"low discount",IF(Table1[[#This Row],[Disount amount]]&lt;=2000,"medium discount","high discount"))</f>
        <v>low discount</v>
      </c>
    </row>
    <row r="95" spans="1:11" x14ac:dyDescent="0.25">
      <c r="A95" t="s">
        <v>272</v>
      </c>
      <c r="B95" s="2">
        <v>1300</v>
      </c>
      <c r="C95" s="2">
        <v>2500</v>
      </c>
      <c r="D95" s="2">
        <v>1200</v>
      </c>
      <c r="E95" s="1">
        <v>0.48</v>
      </c>
      <c r="F95">
        <v>0</v>
      </c>
      <c r="G95">
        <v>0</v>
      </c>
      <c r="H95" t="str">
        <f t="shared" si="2"/>
        <v>no rating</v>
      </c>
      <c r="I95" t="str">
        <f t="shared" si="3"/>
        <v>high</v>
      </c>
      <c r="J95" t="str">
        <f>IF(Table1[[#This Row],[Current price]]&lt;1000,"Budget",IF(Table1[[#This Row],[Current price]]&lt;=2000,"mid_range","premium"))</f>
        <v>mid_range</v>
      </c>
      <c r="K95" t="str">
        <f>IF(Table1[[#This Row],[Disount amount]]&lt;1000,"low discount",IF(Table1[[#This Row],[Disount amount]]&lt;=2000,"medium discount","high discount"))</f>
        <v>medium discount</v>
      </c>
    </row>
    <row r="96" spans="1:11" x14ac:dyDescent="0.25">
      <c r="A96" t="s">
        <v>274</v>
      </c>
      <c r="B96">
        <v>105</v>
      </c>
      <c r="C96">
        <v>200</v>
      </c>
      <c r="D96" s="2">
        <v>95</v>
      </c>
      <c r="E96" s="1">
        <v>0.48</v>
      </c>
      <c r="F96">
        <v>0</v>
      </c>
      <c r="G96">
        <v>0</v>
      </c>
      <c r="H96" t="str">
        <f t="shared" si="2"/>
        <v>no rating</v>
      </c>
      <c r="I96" t="str">
        <f t="shared" si="3"/>
        <v>high</v>
      </c>
      <c r="J96" t="str">
        <f>IF(Table1[[#This Row],[Current price]]&lt;1000,"Budget",IF(Table1[[#This Row],[Current price]]&lt;=2000,"mid_range","premium"))</f>
        <v>Budget</v>
      </c>
      <c r="K96" t="str">
        <f>IF(Table1[[#This Row],[Disount amount]]&lt;1000,"low discount",IF(Table1[[#This Row],[Disount amount]]&lt;=2000,"medium discount","high discount"))</f>
        <v>low discount</v>
      </c>
    </row>
    <row r="97" spans="1:11" x14ac:dyDescent="0.25">
      <c r="A97" t="s">
        <v>277</v>
      </c>
      <c r="B97">
        <v>899</v>
      </c>
      <c r="C97" s="2">
        <v>1699</v>
      </c>
      <c r="D97" s="2">
        <v>800</v>
      </c>
      <c r="E97" s="1">
        <v>0.47</v>
      </c>
      <c r="F97">
        <v>0</v>
      </c>
      <c r="G97">
        <v>0</v>
      </c>
      <c r="H97" t="str">
        <f t="shared" si="2"/>
        <v>no rating</v>
      </c>
      <c r="I97" t="str">
        <f t="shared" si="3"/>
        <v>high</v>
      </c>
      <c r="J97" t="str">
        <f>IF(Table1[[#This Row],[Current price]]&lt;1000,"Budget",IF(Table1[[#This Row],[Current price]]&lt;=2000,"mid_range","premium"))</f>
        <v>Budget</v>
      </c>
      <c r="K97" t="str">
        <f>IF(Table1[[#This Row],[Disount amount]]&lt;1000,"low discount",IF(Table1[[#This Row],[Disount amount]]&lt;=2000,"medium discount","high discount"))</f>
        <v>low discount</v>
      </c>
    </row>
    <row r="98" spans="1:11" x14ac:dyDescent="0.25">
      <c r="A98" t="s">
        <v>277</v>
      </c>
      <c r="B98">
        <v>899</v>
      </c>
      <c r="C98" s="2">
        <v>1699</v>
      </c>
      <c r="D98" s="2">
        <v>800</v>
      </c>
      <c r="E98" s="1">
        <v>0.47</v>
      </c>
      <c r="F98">
        <v>0</v>
      </c>
      <c r="G98">
        <v>0</v>
      </c>
      <c r="H98" t="str">
        <f t="shared" si="2"/>
        <v>no rating</v>
      </c>
      <c r="I98" t="str">
        <f t="shared" si="3"/>
        <v>high</v>
      </c>
      <c r="J98" t="str">
        <f>IF(Table1[[#This Row],[Current price]]&lt;1000,"Budget",IF(Table1[[#This Row],[Current price]]&lt;=2000,"mid_range","premium"))</f>
        <v>Budget</v>
      </c>
      <c r="K98" t="str">
        <f>IF(Table1[[#This Row],[Disount amount]]&lt;1000,"low discount",IF(Table1[[#This Row],[Disount amount]]&lt;=2000,"medium discount","high discount"))</f>
        <v>low discount</v>
      </c>
    </row>
    <row r="99" spans="1:11" x14ac:dyDescent="0.25">
      <c r="A99" t="s">
        <v>278</v>
      </c>
      <c r="B99" s="2">
        <v>1200</v>
      </c>
      <c r="C99" s="2">
        <v>2400</v>
      </c>
      <c r="D99" s="2">
        <v>1200</v>
      </c>
      <c r="E99" s="1">
        <v>0.5</v>
      </c>
      <c r="F99">
        <v>0</v>
      </c>
      <c r="G99">
        <v>0</v>
      </c>
      <c r="H99" t="str">
        <f t="shared" si="2"/>
        <v>no rating</v>
      </c>
      <c r="I99" t="str">
        <f t="shared" si="3"/>
        <v>high</v>
      </c>
      <c r="J99" t="str">
        <f>IF(Table1[[#This Row],[Current price]]&lt;1000,"Budget",IF(Table1[[#This Row],[Current price]]&lt;=2000,"mid_range","premium"))</f>
        <v>mid_range</v>
      </c>
      <c r="K99" t="str">
        <f>IF(Table1[[#This Row],[Disount amount]]&lt;1000,"low discount",IF(Table1[[#This Row],[Disount amount]]&lt;=2000,"medium discount","high discount"))</f>
        <v>medium discount</v>
      </c>
    </row>
    <row r="100" spans="1:11" x14ac:dyDescent="0.25">
      <c r="A100" t="s">
        <v>280</v>
      </c>
      <c r="B100" s="2">
        <v>1526</v>
      </c>
      <c r="C100" s="2">
        <v>1660</v>
      </c>
      <c r="D100" s="2">
        <v>134</v>
      </c>
      <c r="E100" s="1">
        <v>0.08</v>
      </c>
      <c r="F100">
        <v>0</v>
      </c>
      <c r="G100">
        <v>0</v>
      </c>
      <c r="H100" t="str">
        <f t="shared" si="2"/>
        <v>no rating</v>
      </c>
      <c r="I100" t="str">
        <f t="shared" si="3"/>
        <v>low</v>
      </c>
      <c r="J100" t="str">
        <f>IF(Table1[[#This Row],[Current price]]&lt;1000,"Budget",IF(Table1[[#This Row],[Current price]]&lt;=2000,"mid_range","premium"))</f>
        <v>mid_range</v>
      </c>
      <c r="K100" t="str">
        <f>IF(Table1[[#This Row],[Disount amount]]&lt;1000,"low discount",IF(Table1[[#This Row],[Disount amount]]&lt;=2000,"medium discount","high discount"))</f>
        <v>low discount</v>
      </c>
    </row>
    <row r="101" spans="1:11" x14ac:dyDescent="0.25">
      <c r="A101" t="s">
        <v>282</v>
      </c>
      <c r="B101" s="2">
        <v>1462</v>
      </c>
      <c r="C101" s="2">
        <v>1499</v>
      </c>
      <c r="D101" s="2">
        <v>37</v>
      </c>
      <c r="E101" s="1">
        <v>0.02</v>
      </c>
      <c r="F101">
        <v>0</v>
      </c>
      <c r="G101">
        <v>0</v>
      </c>
      <c r="H101" t="str">
        <f t="shared" si="2"/>
        <v>no rating</v>
      </c>
      <c r="I101" t="str">
        <f t="shared" si="3"/>
        <v>low</v>
      </c>
      <c r="J101" t="str">
        <f>IF(Table1[[#This Row],[Current price]]&lt;1000,"Budget",IF(Table1[[#This Row],[Current price]]&lt;=2000,"mid_range","premium"))</f>
        <v>mid_range</v>
      </c>
      <c r="K101" t="str">
        <f>IF(Table1[[#This Row],[Disount amount]]&lt;1000,"low discount",IF(Table1[[#This Row],[Disount amount]]&lt;=2000,"medium discount","high discount"))</f>
        <v>low discount</v>
      </c>
    </row>
    <row r="102" spans="1:11" x14ac:dyDescent="0.25">
      <c r="A102" t="s">
        <v>284</v>
      </c>
      <c r="B102">
        <v>248</v>
      </c>
      <c r="C102">
        <v>486</v>
      </c>
      <c r="D102" s="2">
        <v>238</v>
      </c>
      <c r="E102" s="1">
        <v>0.49</v>
      </c>
      <c r="F102">
        <v>0</v>
      </c>
      <c r="G102">
        <v>0</v>
      </c>
      <c r="H102" t="str">
        <f t="shared" si="2"/>
        <v>no rating</v>
      </c>
      <c r="I102" t="str">
        <f t="shared" si="3"/>
        <v>high</v>
      </c>
      <c r="J102" t="str">
        <f>IF(Table1[[#This Row],[Current price]]&lt;1000,"Budget",IF(Table1[[#This Row],[Current price]]&lt;=2000,"mid_range","premium"))</f>
        <v>Budget</v>
      </c>
      <c r="K102" t="str">
        <f>IF(Table1[[#This Row],[Disount amount]]&lt;1000,"low discount",IF(Table1[[#This Row],[Disount amount]]&lt;=2000,"medium discount","high discount"))</f>
        <v>low discount</v>
      </c>
    </row>
    <row r="103" spans="1:11" x14ac:dyDescent="0.25">
      <c r="A103" t="s">
        <v>287</v>
      </c>
      <c r="B103" s="2">
        <v>3546</v>
      </c>
      <c r="C103" s="2">
        <v>3699</v>
      </c>
      <c r="D103" s="2">
        <v>153</v>
      </c>
      <c r="E103" s="1">
        <v>0.04</v>
      </c>
      <c r="F103">
        <v>0</v>
      </c>
      <c r="G103">
        <v>0</v>
      </c>
      <c r="H103" t="str">
        <f t="shared" si="2"/>
        <v>no rating</v>
      </c>
      <c r="I103" t="str">
        <f t="shared" si="3"/>
        <v>low</v>
      </c>
      <c r="J103" t="str">
        <f>IF(Table1[[#This Row],[Current price]]&lt;1000,"Budget",IF(Table1[[#This Row],[Current price]]&lt;=2000,"mid_range","premium"))</f>
        <v>premium</v>
      </c>
      <c r="K103" t="str">
        <f>IF(Table1[[#This Row],[Disount amount]]&lt;1000,"low discount",IF(Table1[[#This Row],[Disount amount]]&lt;=2000,"medium discount","high discount"))</f>
        <v>low discount</v>
      </c>
    </row>
    <row r="104" spans="1:11" x14ac:dyDescent="0.25">
      <c r="A104" t="s">
        <v>289</v>
      </c>
      <c r="B104">
        <v>525</v>
      </c>
      <c r="C104" s="2">
        <v>1029</v>
      </c>
      <c r="D104" s="2">
        <v>504</v>
      </c>
      <c r="E104" s="1">
        <v>0.49</v>
      </c>
      <c r="F104">
        <v>0</v>
      </c>
      <c r="G104">
        <v>0</v>
      </c>
      <c r="H104" t="str">
        <f t="shared" si="2"/>
        <v>no rating</v>
      </c>
      <c r="I104" t="str">
        <f t="shared" si="3"/>
        <v>high</v>
      </c>
      <c r="J104" t="str">
        <f>IF(Table1[[#This Row],[Current price]]&lt;1000,"Budget",IF(Table1[[#This Row],[Current price]]&lt;=2000,"mid_range","premium"))</f>
        <v>Budget</v>
      </c>
      <c r="K104" t="str">
        <f>IF(Table1[[#This Row],[Disount amount]]&lt;1000,"low discount",IF(Table1[[#This Row],[Disount amount]]&lt;=2000,"medium discount","high discount"))</f>
        <v>low discount</v>
      </c>
    </row>
    <row r="105" spans="1:11" x14ac:dyDescent="0.25">
      <c r="A105" t="s">
        <v>292</v>
      </c>
      <c r="B105" s="2">
        <v>1080</v>
      </c>
      <c r="C105" s="2">
        <v>1874</v>
      </c>
      <c r="D105" s="2">
        <v>794</v>
      </c>
      <c r="E105" s="1">
        <v>0.42</v>
      </c>
      <c r="F105">
        <v>0</v>
      </c>
      <c r="G105">
        <v>0</v>
      </c>
      <c r="H105" t="str">
        <f t="shared" si="2"/>
        <v>no rating</v>
      </c>
      <c r="I105" t="str">
        <f t="shared" si="3"/>
        <v>high</v>
      </c>
      <c r="J105" t="str">
        <f>IF(Table1[[#This Row],[Current price]]&lt;1000,"Budget",IF(Table1[[#This Row],[Current price]]&lt;=2000,"mid_range","premium"))</f>
        <v>mid_range</v>
      </c>
      <c r="K105" t="str">
        <f>IF(Table1[[#This Row],[Disount amount]]&lt;1000,"low discount",IF(Table1[[#This Row],[Disount amount]]&lt;=2000,"medium discount","high discount"))</f>
        <v>low discount</v>
      </c>
    </row>
    <row r="106" spans="1:11" x14ac:dyDescent="0.25">
      <c r="A106" t="s">
        <v>295</v>
      </c>
      <c r="B106" s="2">
        <v>3640</v>
      </c>
      <c r="C106" s="2">
        <v>4588</v>
      </c>
      <c r="D106" s="2">
        <v>948</v>
      </c>
      <c r="E106" s="1">
        <v>0.21</v>
      </c>
      <c r="F106">
        <v>1</v>
      </c>
      <c r="G106">
        <v>5</v>
      </c>
      <c r="H106" t="str">
        <f t="shared" si="2"/>
        <v>excellent</v>
      </c>
      <c r="I106" t="str">
        <f t="shared" si="3"/>
        <v>medium</v>
      </c>
      <c r="J106" t="str">
        <f>IF(Table1[[#This Row],[Current price]]&lt;1000,"Budget",IF(Table1[[#This Row],[Current price]]&lt;=2000,"mid_range","premium"))</f>
        <v>premium</v>
      </c>
      <c r="K106" t="str">
        <f>IF(Table1[[#This Row],[Disount amount]]&lt;1000,"low discount",IF(Table1[[#This Row],[Disount amount]]&lt;=2000,"medium discount","high discount"))</f>
        <v>low discount</v>
      </c>
    </row>
    <row r="107" spans="1:11" x14ac:dyDescent="0.25">
      <c r="A107" t="s">
        <v>298</v>
      </c>
      <c r="B107" s="2">
        <v>1420</v>
      </c>
      <c r="C107" s="2">
        <v>2420</v>
      </c>
      <c r="D107" s="2">
        <v>1000</v>
      </c>
      <c r="E107" s="1">
        <v>0.41</v>
      </c>
      <c r="F107">
        <v>0</v>
      </c>
      <c r="G107">
        <v>0</v>
      </c>
      <c r="H107" t="str">
        <f t="shared" si="2"/>
        <v>no rating</v>
      </c>
      <c r="I107" t="str">
        <f t="shared" si="3"/>
        <v>high</v>
      </c>
      <c r="J107" t="str">
        <f>IF(Table1[[#This Row],[Current price]]&lt;1000,"Budget",IF(Table1[[#This Row],[Current price]]&lt;=2000,"mid_range","premium"))</f>
        <v>mid_range</v>
      </c>
      <c r="K107" t="str">
        <f>IF(Table1[[#This Row],[Disount amount]]&lt;1000,"low discount",IF(Table1[[#This Row],[Disount amount]]&lt;=2000,"medium discount","high discount"))</f>
        <v>medium discount</v>
      </c>
    </row>
    <row r="108" spans="1:11" x14ac:dyDescent="0.25">
      <c r="A108" t="s">
        <v>301</v>
      </c>
      <c r="B108" s="2">
        <v>1875</v>
      </c>
      <c r="C108" s="2">
        <v>1899</v>
      </c>
      <c r="D108" s="2">
        <v>24</v>
      </c>
      <c r="E108" s="1">
        <v>0.01</v>
      </c>
      <c r="F108">
        <v>0</v>
      </c>
      <c r="G108">
        <v>0</v>
      </c>
      <c r="H108" t="str">
        <f t="shared" si="2"/>
        <v>no rating</v>
      </c>
      <c r="I108" t="str">
        <f t="shared" si="3"/>
        <v>low</v>
      </c>
      <c r="J108" t="str">
        <f>IF(Table1[[#This Row],[Current price]]&lt;1000,"Budget",IF(Table1[[#This Row],[Current price]]&lt;=2000,"mid_range","premium"))</f>
        <v>mid_range</v>
      </c>
      <c r="K108" t="str">
        <f>IF(Table1[[#This Row],[Disount amount]]&lt;1000,"low discount",IF(Table1[[#This Row],[Disount amount]]&lt;=2000,"medium discount","high discount"))</f>
        <v>low discount</v>
      </c>
    </row>
    <row r="109" spans="1:11" x14ac:dyDescent="0.25">
      <c r="A109" t="s">
        <v>304</v>
      </c>
      <c r="B109">
        <v>198</v>
      </c>
      <c r="C109">
        <v>260</v>
      </c>
      <c r="D109" s="2">
        <v>62</v>
      </c>
      <c r="E109" s="1">
        <v>0.24</v>
      </c>
      <c r="F109">
        <v>0</v>
      </c>
      <c r="G109">
        <v>0</v>
      </c>
      <c r="H109" t="str">
        <f t="shared" si="2"/>
        <v>no rating</v>
      </c>
      <c r="I109" t="str">
        <f t="shared" si="3"/>
        <v>medium</v>
      </c>
      <c r="J109" t="str">
        <f>IF(Table1[[#This Row],[Current price]]&lt;1000,"Budget",IF(Table1[[#This Row],[Current price]]&lt;=2000,"mid_range","premium"))</f>
        <v>Budget</v>
      </c>
      <c r="K109" t="str">
        <f>IF(Table1[[#This Row],[Disount amount]]&lt;1000,"low discount",IF(Table1[[#This Row],[Disount amount]]&lt;=2000,"medium discount","high discount"))</f>
        <v>low discount</v>
      </c>
    </row>
    <row r="110" spans="1:11" x14ac:dyDescent="0.25">
      <c r="A110" t="s">
        <v>307</v>
      </c>
      <c r="B110" s="2">
        <v>1150</v>
      </c>
      <c r="C110" s="2">
        <v>1737</v>
      </c>
      <c r="D110" s="2">
        <v>587</v>
      </c>
      <c r="E110" s="1">
        <v>0.34</v>
      </c>
      <c r="F110">
        <v>0</v>
      </c>
      <c r="G110">
        <v>0</v>
      </c>
      <c r="H110" t="str">
        <f t="shared" si="2"/>
        <v>no rating</v>
      </c>
      <c r="I110" t="str">
        <f t="shared" si="3"/>
        <v>medium</v>
      </c>
      <c r="J110" t="str">
        <f>IF(Table1[[#This Row],[Current price]]&lt;1000,"Budget",IF(Table1[[#This Row],[Current price]]&lt;=2000,"mid_range","premium"))</f>
        <v>mid_range</v>
      </c>
      <c r="K110" t="str">
        <f>IF(Table1[[#This Row],[Disount amount]]&lt;1000,"low discount",IF(Table1[[#This Row],[Disount amount]]&lt;=2000,"medium discount","high discount"))</f>
        <v>low discount</v>
      </c>
    </row>
    <row r="111" spans="1:11" x14ac:dyDescent="0.25">
      <c r="A111" t="s">
        <v>310</v>
      </c>
      <c r="B111" s="2">
        <v>1190</v>
      </c>
      <c r="C111" s="2">
        <v>1810</v>
      </c>
      <c r="D111" s="2">
        <v>620</v>
      </c>
      <c r="E111" s="1">
        <v>0.34</v>
      </c>
      <c r="F111">
        <v>0</v>
      </c>
      <c r="G111">
        <v>0</v>
      </c>
      <c r="H111" t="str">
        <f t="shared" si="2"/>
        <v>no rating</v>
      </c>
      <c r="I111" t="str">
        <f t="shared" si="3"/>
        <v>medium</v>
      </c>
      <c r="J111" t="str">
        <f>IF(Table1[[#This Row],[Current price]]&lt;1000,"Budget",IF(Table1[[#This Row],[Current price]]&lt;=2000,"mid_range","premium"))</f>
        <v>mid_range</v>
      </c>
      <c r="K111" t="str">
        <f>IF(Table1[[#This Row],[Disount amount]]&lt;1000,"low discount",IF(Table1[[#This Row],[Disount amount]]&lt;=2000,"medium discount","high discount"))</f>
        <v>low discount</v>
      </c>
    </row>
    <row r="112" spans="1:11" x14ac:dyDescent="0.25">
      <c r="A112" t="s">
        <v>312</v>
      </c>
      <c r="B112" s="2">
        <v>1658</v>
      </c>
      <c r="C112" s="2">
        <v>1699</v>
      </c>
      <c r="D112" s="2">
        <v>41</v>
      </c>
      <c r="E112" s="1">
        <v>0.02</v>
      </c>
      <c r="F112">
        <v>0</v>
      </c>
      <c r="G112">
        <v>0</v>
      </c>
      <c r="H112" t="str">
        <f t="shared" si="2"/>
        <v>no rating</v>
      </c>
      <c r="I112" t="str">
        <f t="shared" si="3"/>
        <v>low</v>
      </c>
      <c r="J112" t="str">
        <f>IF(Table1[[#This Row],[Current price]]&lt;1000,"Budget",IF(Table1[[#This Row],[Current price]]&lt;=2000,"mid_range","premium"))</f>
        <v>mid_range</v>
      </c>
      <c r="K112" t="str">
        <f>IF(Table1[[#This Row],[Disount amount]]&lt;1000,"low discount",IF(Table1[[#This Row],[Disount amount]]&lt;=2000,"medium discount","high discount"))</f>
        <v>low discount</v>
      </c>
    </row>
    <row r="113" spans="1:11" x14ac:dyDescent="0.25">
      <c r="A113" t="s">
        <v>314</v>
      </c>
      <c r="B113" s="2">
        <v>1768</v>
      </c>
      <c r="C113" s="2">
        <v>1799</v>
      </c>
      <c r="D113" s="2">
        <v>31</v>
      </c>
      <c r="E113" s="1">
        <v>0.02</v>
      </c>
      <c r="F113">
        <v>0</v>
      </c>
      <c r="G113">
        <v>0</v>
      </c>
      <c r="H113" t="str">
        <f t="shared" si="2"/>
        <v>no rating</v>
      </c>
      <c r="I113" t="str">
        <f t="shared" si="3"/>
        <v>low</v>
      </c>
      <c r="J113" t="str">
        <f>IF(Table1[[#This Row],[Current price]]&lt;1000,"Budget",IF(Table1[[#This Row],[Current price]]&lt;=2000,"mid_range","premium"))</f>
        <v>mid_range</v>
      </c>
      <c r="K113" t="str">
        <f>IF(Table1[[#This Row],[Disount amount]]&lt;1000,"low discount",IF(Table1[[#This Row],[Disount amount]]&lt;=2000,"medium discount","high discount"))</f>
        <v>low discount</v>
      </c>
    </row>
    <row r="114" spans="1:11" x14ac:dyDescent="0.25">
      <c r="A114" t="s">
        <v>316</v>
      </c>
      <c r="B114">
        <v>199</v>
      </c>
      <c r="C114">
        <v>553</v>
      </c>
      <c r="D114" s="2">
        <v>354</v>
      </c>
      <c r="E114" s="1">
        <v>0.64</v>
      </c>
      <c r="F114">
        <v>0</v>
      </c>
      <c r="G114">
        <v>0</v>
      </c>
      <c r="H114" t="str">
        <f t="shared" si="2"/>
        <v>no rating</v>
      </c>
      <c r="I114" t="str">
        <f t="shared" si="3"/>
        <v>high</v>
      </c>
      <c r="J114" t="str">
        <f>IF(Table1[[#This Row],[Current price]]&lt;1000,"Budget",IF(Table1[[#This Row],[Current price]]&lt;=2000,"mid_range","premium"))</f>
        <v>Budget</v>
      </c>
      <c r="K114" t="str">
        <f>IF(Table1[[#This Row],[Disount amount]]&lt;1000,"low discount",IF(Table1[[#This Row],[Disount amount]]&lt;=2000,"medium discount","high discount"))</f>
        <v>low discount</v>
      </c>
    </row>
    <row r="115" spans="1:11" x14ac:dyDescent="0.25">
      <c r="A115" t="s">
        <v>318</v>
      </c>
      <c r="B115">
        <v>450</v>
      </c>
      <c r="C115">
        <v>900</v>
      </c>
      <c r="D115" s="2">
        <v>450</v>
      </c>
      <c r="E115" s="1">
        <v>0.5</v>
      </c>
      <c r="F115">
        <v>1</v>
      </c>
      <c r="G115">
        <v>2</v>
      </c>
      <c r="H115" t="str">
        <f t="shared" si="2"/>
        <v>poor</v>
      </c>
      <c r="I115" t="str">
        <f t="shared" si="3"/>
        <v>high</v>
      </c>
      <c r="J115" t="str">
        <f>IF(Table1[[#This Row],[Current price]]&lt;1000,"Budget",IF(Table1[[#This Row],[Current price]]&lt;=2000,"mid_range","premium"))</f>
        <v>Budget</v>
      </c>
      <c r="K115" t="str">
        <f>IF(Table1[[#This Row],[Disount amount]]&lt;1000,"low discount",IF(Table1[[#This Row],[Disount amount]]&lt;=2000,"medium discount","high discount"))</f>
        <v>low discount</v>
      </c>
    </row>
    <row r="116" spans="1:11" x14ac:dyDescent="0.25">
      <c r="A116" t="s">
        <v>320</v>
      </c>
      <c r="B116">
        <v>169</v>
      </c>
      <c r="C116">
        <v>320</v>
      </c>
      <c r="D116" s="2">
        <v>151</v>
      </c>
      <c r="E116" s="1">
        <v>0.47</v>
      </c>
      <c r="F116">
        <v>0</v>
      </c>
      <c r="G116">
        <v>0</v>
      </c>
      <c r="H116" t="str">
        <f t="shared" si="2"/>
        <v>no rating</v>
      </c>
      <c r="I116" t="str">
        <f t="shared" si="3"/>
        <v>high</v>
      </c>
      <c r="J116" t="str">
        <f>IF(Table1[[#This Row],[Current price]]&lt;1000,"Budget",IF(Table1[[#This Row],[Current price]]&lt;=2000,"mid_range","premium"))</f>
        <v>Budget</v>
      </c>
      <c r="K116" t="str">
        <f>IF(Table1[[#This Row],[Disount amount]]&lt;1000,"low discount",IF(Table1[[#This Row],[Disount amount]]&lt;=2000,"medium discount","high discount"))</f>
        <v>low discount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3B09A-E854-46CC-8BD3-64BFD3CC67FA}">
  <dimension ref="A3:V50"/>
  <sheetViews>
    <sheetView workbookViewId="0"/>
  </sheetViews>
  <sheetFormatPr defaultRowHeight="15" x14ac:dyDescent="0.25"/>
  <cols>
    <col min="1" max="1" width="16.7109375" bestFit="1" customWidth="1"/>
    <col min="2" max="2" width="13.140625" bestFit="1" customWidth="1"/>
    <col min="3" max="3" width="16.7109375" bestFit="1" customWidth="1"/>
    <col min="4" max="4" width="17.85546875" bestFit="1" customWidth="1"/>
    <col min="6" max="6" width="13.140625" bestFit="1" customWidth="1"/>
    <col min="7" max="7" width="17.85546875" bestFit="1" customWidth="1"/>
    <col min="8" max="8" width="13.140625" bestFit="1" customWidth="1"/>
    <col min="9" max="9" width="17.85546875" bestFit="1" customWidth="1"/>
    <col min="10" max="10" width="16.7109375" bestFit="1" customWidth="1"/>
    <col min="14" max="14" width="13.140625" bestFit="1" customWidth="1"/>
    <col min="15" max="15" width="16.7109375" bestFit="1" customWidth="1"/>
    <col min="16" max="16" width="23" bestFit="1" customWidth="1"/>
    <col min="19" max="19" width="13.140625" bestFit="1" customWidth="1"/>
    <col min="20" max="20" width="19" bestFit="1" customWidth="1"/>
    <col min="21" max="21" width="15.7109375" bestFit="1" customWidth="1"/>
    <col min="22" max="22" width="18.85546875" bestFit="1" customWidth="1"/>
  </cols>
  <sheetData>
    <row r="3" spans="1:22" x14ac:dyDescent="0.25">
      <c r="A3" s="3" t="s">
        <v>328</v>
      </c>
      <c r="B3" t="s">
        <v>338</v>
      </c>
      <c r="C3" t="s">
        <v>339</v>
      </c>
      <c r="H3" s="3" t="s">
        <v>328</v>
      </c>
      <c r="I3" t="s">
        <v>330</v>
      </c>
      <c r="J3" t="s">
        <v>331</v>
      </c>
      <c r="N3" s="3" t="s">
        <v>328</v>
      </c>
      <c r="O3" t="s">
        <v>333</v>
      </c>
      <c r="P3" t="s">
        <v>334</v>
      </c>
      <c r="T3" s="3" t="s">
        <v>328</v>
      </c>
      <c r="U3" t="s">
        <v>338</v>
      </c>
      <c r="V3" t="s">
        <v>339</v>
      </c>
    </row>
    <row r="4" spans="1:22" x14ac:dyDescent="0.25">
      <c r="A4" s="5" t="s">
        <v>342</v>
      </c>
      <c r="B4">
        <v>3</v>
      </c>
      <c r="C4">
        <v>8.3333333333333339</v>
      </c>
      <c r="H4" s="5" t="s">
        <v>332</v>
      </c>
      <c r="I4">
        <v>6.65</v>
      </c>
      <c r="J4">
        <v>60</v>
      </c>
      <c r="N4" s="5" t="s">
        <v>332</v>
      </c>
      <c r="O4">
        <v>1.7883333333333333</v>
      </c>
      <c r="P4">
        <v>543.65</v>
      </c>
      <c r="T4" s="5" t="s">
        <v>342</v>
      </c>
      <c r="U4">
        <v>3</v>
      </c>
      <c r="V4">
        <v>8.3333333333333339</v>
      </c>
    </row>
    <row r="5" spans="1:22" x14ac:dyDescent="0.25">
      <c r="A5" s="5" t="s">
        <v>336</v>
      </c>
      <c r="B5">
        <v>95</v>
      </c>
      <c r="C5">
        <v>6.9263157894736844</v>
      </c>
      <c r="H5" s="5" t="s">
        <v>343</v>
      </c>
      <c r="I5">
        <v>4.5526315789473681</v>
      </c>
      <c r="J5">
        <v>38</v>
      </c>
      <c r="N5" s="5" t="s">
        <v>343</v>
      </c>
      <c r="O5">
        <v>1.7868421052631576</v>
      </c>
      <c r="P5">
        <v>1519.5</v>
      </c>
      <c r="T5" s="5" t="s">
        <v>336</v>
      </c>
      <c r="U5">
        <v>95</v>
      </c>
      <c r="V5">
        <v>6.9263157894736844</v>
      </c>
    </row>
    <row r="6" spans="1:22" x14ac:dyDescent="0.25">
      <c r="A6" s="5" t="s">
        <v>337</v>
      </c>
      <c r="B6">
        <v>17</v>
      </c>
      <c r="C6">
        <v>2.3529411764705883</v>
      </c>
      <c r="H6" s="5" t="s">
        <v>344</v>
      </c>
      <c r="I6">
        <v>8.882352941176471</v>
      </c>
      <c r="J6">
        <v>17</v>
      </c>
      <c r="N6" s="5" t="s">
        <v>344</v>
      </c>
      <c r="O6">
        <v>2.7352941176470589</v>
      </c>
      <c r="P6">
        <v>2639.4705882352941</v>
      </c>
      <c r="T6" s="5" t="s">
        <v>337</v>
      </c>
      <c r="U6">
        <v>17</v>
      </c>
      <c r="V6">
        <v>2.3529411764705883</v>
      </c>
    </row>
    <row r="7" spans="1:22" x14ac:dyDescent="0.25">
      <c r="A7" s="5" t="s">
        <v>329</v>
      </c>
      <c r="B7">
        <v>115</v>
      </c>
      <c r="C7">
        <v>6.2869565217391301</v>
      </c>
      <c r="H7" s="5" t="s">
        <v>329</v>
      </c>
      <c r="I7">
        <v>6.2869565217391301</v>
      </c>
      <c r="J7">
        <v>115</v>
      </c>
      <c r="N7" s="5" t="s">
        <v>329</v>
      </c>
      <c r="O7">
        <v>1.9278260869565218</v>
      </c>
      <c r="P7">
        <v>1175.9217391304348</v>
      </c>
      <c r="T7" s="5" t="s">
        <v>329</v>
      </c>
      <c r="U7">
        <v>115</v>
      </c>
      <c r="V7">
        <v>6.2869565217391301</v>
      </c>
    </row>
    <row r="11" spans="1:22" x14ac:dyDescent="0.25">
      <c r="S11" s="3" t="s">
        <v>328</v>
      </c>
      <c r="T11" t="s">
        <v>341</v>
      </c>
    </row>
    <row r="12" spans="1:22" x14ac:dyDescent="0.25">
      <c r="S12" s="4">
        <v>0.48</v>
      </c>
      <c r="T12" s="1">
        <v>0.48</v>
      </c>
    </row>
    <row r="13" spans="1:22" x14ac:dyDescent="0.25">
      <c r="S13" s="4">
        <v>0.49</v>
      </c>
      <c r="T13" s="1">
        <v>0.49000000000000016</v>
      </c>
    </row>
    <row r="14" spans="1:22" x14ac:dyDescent="0.25">
      <c r="S14" s="4">
        <v>0.5</v>
      </c>
      <c r="T14" s="1">
        <v>0.5</v>
      </c>
    </row>
    <row r="15" spans="1:22" x14ac:dyDescent="0.25">
      <c r="S15" s="4">
        <v>0.51</v>
      </c>
      <c r="T15" s="1">
        <v>0.51</v>
      </c>
    </row>
    <row r="16" spans="1:22" x14ac:dyDescent="0.25">
      <c r="S16" s="4">
        <v>0.52</v>
      </c>
      <c r="T16" s="1">
        <v>0.52</v>
      </c>
    </row>
    <row r="17" spans="1:20" x14ac:dyDescent="0.25">
      <c r="S17" s="4">
        <v>0.53</v>
      </c>
      <c r="T17" s="1">
        <v>0.53</v>
      </c>
    </row>
    <row r="18" spans="1:20" x14ac:dyDescent="0.25">
      <c r="S18" s="4">
        <v>0.54</v>
      </c>
      <c r="T18" s="1">
        <v>0.54</v>
      </c>
    </row>
    <row r="19" spans="1:20" x14ac:dyDescent="0.25">
      <c r="S19" s="4">
        <v>0.55000000000000004</v>
      </c>
      <c r="T19" s="1">
        <v>0.55000000000000004</v>
      </c>
    </row>
    <row r="20" spans="1:20" x14ac:dyDescent="0.25">
      <c r="S20" s="4">
        <v>0.61</v>
      </c>
      <c r="T20" s="1">
        <v>0.61</v>
      </c>
    </row>
    <row r="21" spans="1:20" x14ac:dyDescent="0.25">
      <c r="S21" s="4">
        <v>0.64</v>
      </c>
      <c r="T21" s="1">
        <v>0.64</v>
      </c>
    </row>
    <row r="22" spans="1:20" x14ac:dyDescent="0.25">
      <c r="S22" s="4" t="s">
        <v>329</v>
      </c>
      <c r="T22" s="1">
        <v>0.51</v>
      </c>
    </row>
    <row r="29" spans="1:20" x14ac:dyDescent="0.25">
      <c r="A29" t="s">
        <v>340</v>
      </c>
      <c r="B29" t="s">
        <v>334</v>
      </c>
      <c r="C29" t="s">
        <v>341</v>
      </c>
      <c r="D29" t="s">
        <v>330</v>
      </c>
    </row>
    <row r="30" spans="1:20" x14ac:dyDescent="0.25">
      <c r="A30">
        <v>115</v>
      </c>
      <c r="B30">
        <v>1175.9217391304348</v>
      </c>
      <c r="C30" s="1">
        <v>0.36956521739130432</v>
      </c>
      <c r="D30">
        <v>6.2869565217391301</v>
      </c>
    </row>
    <row r="32" spans="1:20" x14ac:dyDescent="0.25">
      <c r="A32" t="s">
        <v>333</v>
      </c>
    </row>
    <row r="33" spans="1:7" x14ac:dyDescent="0.25">
      <c r="A33">
        <v>1.9278260869565214</v>
      </c>
    </row>
    <row r="39" spans="1:7" x14ac:dyDescent="0.25">
      <c r="B39" s="3" t="s">
        <v>328</v>
      </c>
      <c r="C39" t="s">
        <v>333</v>
      </c>
      <c r="F39" s="3" t="s">
        <v>328</v>
      </c>
      <c r="G39" t="s">
        <v>330</v>
      </c>
    </row>
    <row r="40" spans="1:7" x14ac:dyDescent="0.25">
      <c r="B40" s="5">
        <v>4</v>
      </c>
      <c r="C40">
        <v>4</v>
      </c>
      <c r="F40" s="5">
        <v>17</v>
      </c>
      <c r="G40">
        <v>17</v>
      </c>
    </row>
    <row r="41" spans="1:7" x14ac:dyDescent="0.25">
      <c r="B41" s="5">
        <v>4.0999999999999996</v>
      </c>
      <c r="C41">
        <v>4.0999999999999996</v>
      </c>
      <c r="F41" s="5">
        <v>20</v>
      </c>
      <c r="G41">
        <v>20</v>
      </c>
    </row>
    <row r="42" spans="1:7" x14ac:dyDescent="0.25">
      <c r="B42" s="5">
        <v>4.2</v>
      </c>
      <c r="C42">
        <v>4.2</v>
      </c>
      <c r="F42" s="5">
        <v>24</v>
      </c>
      <c r="G42">
        <v>24</v>
      </c>
    </row>
    <row r="43" spans="1:7" x14ac:dyDescent="0.25">
      <c r="B43" s="5">
        <v>4.3</v>
      </c>
      <c r="C43">
        <v>4.3</v>
      </c>
      <c r="F43" s="5">
        <v>32</v>
      </c>
      <c r="G43">
        <v>32</v>
      </c>
    </row>
    <row r="44" spans="1:7" x14ac:dyDescent="0.25">
      <c r="B44" s="5">
        <v>4.4000000000000004</v>
      </c>
      <c r="C44">
        <v>4.4000000000000004</v>
      </c>
      <c r="F44" s="5">
        <v>36</v>
      </c>
      <c r="G44">
        <v>36</v>
      </c>
    </row>
    <row r="45" spans="1:7" x14ac:dyDescent="0.25">
      <c r="B45" s="5">
        <v>4.5</v>
      </c>
      <c r="C45">
        <v>4.5</v>
      </c>
      <c r="F45" s="5">
        <v>39</v>
      </c>
      <c r="G45">
        <v>39</v>
      </c>
    </row>
    <row r="46" spans="1:7" x14ac:dyDescent="0.25">
      <c r="B46" s="5">
        <v>4.5999999999999996</v>
      </c>
      <c r="C46">
        <v>4.5999999999999996</v>
      </c>
      <c r="F46" s="5">
        <v>44</v>
      </c>
      <c r="G46">
        <v>44</v>
      </c>
    </row>
    <row r="47" spans="1:7" x14ac:dyDescent="0.25">
      <c r="B47" s="5">
        <v>4.7</v>
      </c>
      <c r="C47">
        <v>4.7</v>
      </c>
      <c r="F47" s="5">
        <v>49</v>
      </c>
      <c r="G47">
        <v>49</v>
      </c>
    </row>
    <row r="48" spans="1:7" x14ac:dyDescent="0.25">
      <c r="B48" s="5">
        <v>4.8</v>
      </c>
      <c r="C48">
        <v>4.8</v>
      </c>
      <c r="F48" s="5">
        <v>55</v>
      </c>
      <c r="G48">
        <v>55</v>
      </c>
    </row>
    <row r="49" spans="2:7" x14ac:dyDescent="0.25">
      <c r="B49" s="5">
        <v>5</v>
      </c>
      <c r="C49">
        <v>5</v>
      </c>
      <c r="F49" s="5">
        <v>69</v>
      </c>
      <c r="G49">
        <v>69</v>
      </c>
    </row>
    <row r="50" spans="2:7" x14ac:dyDescent="0.25">
      <c r="B50" s="5" t="s">
        <v>329</v>
      </c>
      <c r="C50">
        <v>4.5361111111111105</v>
      </c>
      <c r="F50" s="5" t="s">
        <v>329</v>
      </c>
      <c r="G50">
        <v>36.81818181818182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FCB71-E98C-4139-865D-4AB2A1579E83}">
  <dimension ref="A1"/>
  <sheetViews>
    <sheetView showGridLines="0" showRowColHeaders="0" tabSelected="1" zoomScaleNormal="100" workbookViewId="0">
      <selection activeCell="T6" sqref="T6"/>
    </sheetView>
  </sheetViews>
  <sheetFormatPr defaultRowHeight="15" x14ac:dyDescent="0.25"/>
  <cols>
    <col min="1" max="1" width="17.85546875" style="6" bestFit="1" customWidth="1"/>
    <col min="2" max="16384" width="9.14062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Excel_jumia_dataset</vt:lpstr>
      <vt:lpstr>data_cleared</vt:lpstr>
      <vt:lpstr>analyzed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Abdulmalik Muhammad</dc:creator>
  <cp:lastModifiedBy>Abdulmalik Muhammad</cp:lastModifiedBy>
  <cp:lastPrinted>2026-10-06T20:32:48Z</cp:lastPrinted>
  <dcterms:created xsi:type="dcterms:W3CDTF">2026-10-06T20:31:38Z</dcterms:created>
  <dcterms:modified xsi:type="dcterms:W3CDTF">2026-10-11T05:18:55Z</dcterms:modified>
</cp:coreProperties>
</file>